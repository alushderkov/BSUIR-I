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suir\mp8_mp1\"/>
    </mc:Choice>
  </mc:AlternateContent>
  <xr:revisionPtr revIDLastSave="0" documentId="13_ncr:1_{0C325066-C54D-4F55-974F-E3FB7964E02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7" i="1" l="1"/>
  <c r="AB41" i="1"/>
  <c r="AA40" i="1"/>
  <c r="Z39" i="1"/>
  <c r="Y38" i="1"/>
  <c r="V41" i="1"/>
  <c r="V40" i="1"/>
  <c r="V39" i="1"/>
  <c r="V38" i="1"/>
  <c r="V37" i="1"/>
  <c r="X28" i="1"/>
  <c r="AB32" i="1"/>
  <c r="AA31" i="1"/>
  <c r="Z30" i="1"/>
  <c r="Y29" i="1"/>
  <c r="AA23" i="1"/>
  <c r="AA22" i="1"/>
  <c r="Z21" i="1"/>
  <c r="Y20" i="1"/>
  <c r="X23" i="1"/>
  <c r="X22" i="1"/>
  <c r="X21" i="1"/>
  <c r="X20" i="1"/>
  <c r="X19" i="1"/>
  <c r="AB23" i="1"/>
  <c r="G7" i="1"/>
  <c r="G8" i="1"/>
  <c r="I7" i="1" s="1"/>
  <c r="G11" i="1"/>
  <c r="I10" i="1" s="1"/>
  <c r="G12" i="1"/>
  <c r="I11" i="1" s="1"/>
  <c r="G15" i="1"/>
  <c r="I15" i="1"/>
  <c r="V32" i="1"/>
  <c r="V31" i="1"/>
  <c r="V30" i="1"/>
  <c r="V29" i="1"/>
  <c r="V28" i="1"/>
  <c r="V23" i="1"/>
  <c r="V22" i="1"/>
  <c r="V21" i="1"/>
  <c r="V20" i="1"/>
  <c r="V19" i="1"/>
  <c r="W21" i="1"/>
  <c r="Y23" i="1" s="1"/>
  <c r="W22" i="1"/>
  <c r="W23" i="1"/>
  <c r="W20" i="1"/>
  <c r="Z23" i="1" s="1"/>
  <c r="W19" i="1"/>
  <c r="Z22" i="1" s="1"/>
  <c r="AB14" i="1"/>
  <c r="AA14" i="1"/>
  <c r="Z14" i="1"/>
  <c r="Y14" i="1"/>
  <c r="X14" i="1"/>
  <c r="AB13" i="1"/>
  <c r="AA13" i="1"/>
  <c r="Z13" i="1"/>
  <c r="Y13" i="1"/>
  <c r="X13" i="1"/>
  <c r="E15" i="1"/>
  <c r="E14" i="1"/>
  <c r="G13" i="1" s="1"/>
  <c r="I12" i="1" s="1"/>
  <c r="E13" i="1"/>
  <c r="E12" i="1"/>
  <c r="E11" i="1"/>
  <c r="G10" i="1" s="1"/>
  <c r="I9" i="1" s="1"/>
  <c r="E10" i="1"/>
  <c r="D11" i="1" s="1" a="1"/>
  <c r="D11" i="1" s="1"/>
  <c r="E9" i="1"/>
  <c r="E8" i="1"/>
  <c r="G9" i="1" l="1"/>
  <c r="I8" i="1" s="1"/>
  <c r="D15" i="1" a="1"/>
  <c r="D15" i="1" s="1"/>
  <c r="D10" i="1" a="1"/>
  <c r="D10" i="1" s="1"/>
  <c r="I14" i="1"/>
  <c r="K13" i="1" s="1"/>
  <c r="K10" i="1"/>
  <c r="D12" i="1" a="1"/>
  <c r="D12" i="1" s="1"/>
  <c r="Y21" i="1"/>
  <c r="K14" i="1"/>
  <c r="Y22" i="1"/>
  <c r="AC22" i="1" s="1"/>
  <c r="AC20" i="1"/>
  <c r="D13" i="1" a="1"/>
  <c r="D13" i="1" s="1"/>
  <c r="D14" i="1" a="1"/>
  <c r="D14" i="1" s="1"/>
  <c r="G14" i="1"/>
  <c r="I13" i="1" s="1"/>
  <c r="K12" i="1" s="1"/>
  <c r="D9" i="1" a="1"/>
  <c r="D9" i="1" s="1"/>
  <c r="AC23" i="1"/>
  <c r="W32" i="1" s="1"/>
  <c r="AC21" i="1"/>
  <c r="AC19" i="1"/>
  <c r="D8" i="1" a="1"/>
  <c r="D8" i="1" s="1"/>
  <c r="F9" i="1" a="1"/>
  <c r="F9" i="1" s="1"/>
  <c r="F8" i="1" a="1"/>
  <c r="F8" i="1" s="1"/>
  <c r="W31" i="1" l="1"/>
  <c r="X32" i="1"/>
  <c r="Y32" i="1"/>
  <c r="AC32" i="1" s="1"/>
  <c r="W41" i="1" s="1"/>
  <c r="W30" i="1"/>
  <c r="X31" i="1"/>
  <c r="Y30" i="1"/>
  <c r="X29" i="1"/>
  <c r="AC29" i="1" s="1"/>
  <c r="AA32" i="1"/>
  <c r="Z31" i="1"/>
  <c r="W28" i="1"/>
  <c r="AC28" i="1" s="1"/>
  <c r="K7" i="1"/>
  <c r="K15" i="1"/>
  <c r="K11" i="1"/>
  <c r="K9" i="1"/>
  <c r="Z32" i="1"/>
  <c r="W29" i="1"/>
  <c r="Y31" i="1"/>
  <c r="X30" i="1"/>
  <c r="AC30" i="1" s="1"/>
  <c r="K8" i="1"/>
  <c r="F11" i="1" a="1"/>
  <c r="F11" i="1" s="1"/>
  <c r="F14" i="1" a="1"/>
  <c r="F14" i="1" s="1"/>
  <c r="F12" i="1" a="1"/>
  <c r="F12" i="1" s="1"/>
  <c r="H11" i="1" a="1"/>
  <c r="H11" i="1" s="1"/>
  <c r="F15" i="1" a="1"/>
  <c r="F15" i="1" s="1"/>
  <c r="F13" i="1" a="1"/>
  <c r="F13" i="1" s="1"/>
  <c r="F10" i="1" a="1"/>
  <c r="F10" i="1" s="1"/>
  <c r="M7" i="1" l="1"/>
  <c r="M11" i="1"/>
  <c r="M15" i="1"/>
  <c r="O14" i="1" s="1"/>
  <c r="X39" i="1"/>
  <c r="Y40" i="1"/>
  <c r="Z41" i="1"/>
  <c r="W38" i="1"/>
  <c r="AC38" i="1" s="1"/>
  <c r="M10" i="1"/>
  <c r="O9" i="1" s="1"/>
  <c r="M14" i="1"/>
  <c r="O13" i="1" s="1"/>
  <c r="Q12" i="1" s="1"/>
  <c r="M9" i="1"/>
  <c r="O8" i="1" s="1"/>
  <c r="Q7" i="1" s="1"/>
  <c r="M13" i="1"/>
  <c r="O12" i="1" s="1"/>
  <c r="Q11" i="1" s="1"/>
  <c r="X40" i="1"/>
  <c r="W39" i="1"/>
  <c r="Y41" i="1"/>
  <c r="M8" i="1"/>
  <c r="M12" i="1"/>
  <c r="O11" i="1" s="1"/>
  <c r="Q10" i="1" s="1"/>
  <c r="W37" i="1"/>
  <c r="AC37" i="1" s="1"/>
  <c r="X38" i="1"/>
  <c r="Z40" i="1"/>
  <c r="AA41" i="1"/>
  <c r="Y39" i="1"/>
  <c r="AC31" i="1"/>
  <c r="H8" i="1" a="1"/>
  <c r="H8" i="1" s="1"/>
  <c r="H12" i="1" a="1"/>
  <c r="H12" i="1" s="1"/>
  <c r="H10" i="1" a="1"/>
  <c r="H10" i="1" s="1"/>
  <c r="H9" i="1" a="1"/>
  <c r="H9" i="1" s="1"/>
  <c r="H14" i="1" a="1"/>
  <c r="H14" i="1" s="1"/>
  <c r="H13" i="1" a="1"/>
  <c r="H13" i="1" s="1"/>
  <c r="H15" i="1" a="1"/>
  <c r="H15" i="1" s="1"/>
  <c r="Q8" i="1" l="1"/>
  <c r="S9" i="1" s="1"/>
  <c r="O10" i="1"/>
  <c r="Q9" i="1" s="1"/>
  <c r="S8" i="1" s="1"/>
  <c r="Q15" i="1"/>
  <c r="S14" i="1" s="1"/>
  <c r="O15" i="1"/>
  <c r="Q14" i="1" s="1"/>
  <c r="S13" i="1" s="1"/>
  <c r="O7" i="1"/>
  <c r="AC39" i="1"/>
  <c r="W40" i="1"/>
  <c r="AC40" i="1" s="1"/>
  <c r="X41" i="1"/>
  <c r="AC41" i="1" s="1"/>
  <c r="Q13" i="1"/>
  <c r="J13" i="1" a="1"/>
  <c r="J13" i="1" s="1"/>
  <c r="J12" i="1" a="1"/>
  <c r="J12" i="1" s="1"/>
  <c r="J11" i="1" a="1"/>
  <c r="J11" i="1" s="1"/>
  <c r="J10" i="1" a="1"/>
  <c r="J10" i="1" s="1"/>
  <c r="J15" i="1" a="1"/>
  <c r="J15" i="1" s="1"/>
  <c r="L8" i="1" a="1"/>
  <c r="L8" i="1" s="1"/>
  <c r="J8" i="1" a="1"/>
  <c r="J8" i="1" s="1"/>
  <c r="J14" i="1" a="1"/>
  <c r="J14" i="1" s="1"/>
  <c r="J9" i="1" a="1"/>
  <c r="J9" i="1" s="1"/>
  <c r="S10" i="1" l="1"/>
  <c r="S7" i="1"/>
  <c r="S15" i="1"/>
  <c r="S12" i="1"/>
  <c r="S11" i="1"/>
  <c r="L15" i="1" a="1"/>
  <c r="L15" i="1" s="1"/>
  <c r="L14" i="1" a="1"/>
  <c r="L14" i="1" s="1"/>
  <c r="L13" i="1" a="1"/>
  <c r="L13" i="1" s="1"/>
  <c r="L9" i="1" a="1"/>
  <c r="L9" i="1" s="1"/>
  <c r="L10" i="1" a="1"/>
  <c r="L10" i="1" s="1"/>
  <c r="L11" i="1" a="1"/>
  <c r="L11" i="1" s="1"/>
  <c r="L12" i="1" a="1"/>
  <c r="L12" i="1" s="1"/>
  <c r="N8" i="1" l="1" a="1"/>
  <c r="N8" i="1" s="1"/>
  <c r="N12" i="1" a="1"/>
  <c r="N12" i="1" s="1"/>
  <c r="N15" i="1" a="1"/>
  <c r="N15" i="1" s="1"/>
  <c r="N11" i="1" a="1"/>
  <c r="N11" i="1" s="1"/>
  <c r="N10" i="1" a="1"/>
  <c r="N10" i="1" s="1"/>
  <c r="N14" i="1" a="1"/>
  <c r="N14" i="1" s="1"/>
  <c r="N13" i="1" a="1"/>
  <c r="N13" i="1" s="1"/>
  <c r="N9" i="1" a="1"/>
  <c r="N9" i="1" s="1"/>
  <c r="P10" i="1" l="1" a="1"/>
  <c r="P10" i="1" s="1"/>
  <c r="R9" i="1" a="1"/>
  <c r="R9" i="1" s="1"/>
  <c r="P11" i="1" a="1"/>
  <c r="P11" i="1" s="1"/>
  <c r="P12" i="1" a="1"/>
  <c r="P12" i="1" s="1"/>
  <c r="R14" i="1" a="1"/>
  <c r="R14" i="1" s="1"/>
  <c r="P15" i="1" a="1"/>
  <c r="P15" i="1" s="1"/>
  <c r="P13" i="1" a="1"/>
  <c r="P13" i="1" s="1"/>
  <c r="R12" i="1" a="1"/>
  <c r="R12" i="1" s="1"/>
  <c r="P9" i="1" a="1"/>
  <c r="P9" i="1" s="1"/>
  <c r="P14" i="1" a="1"/>
  <c r="P14" i="1" s="1"/>
  <c r="P8" i="1" a="1"/>
  <c r="P8" i="1" s="1"/>
  <c r="R15" i="1" l="1" a="1"/>
  <c r="R15" i="1" s="1"/>
  <c r="R10" i="1" a="1"/>
  <c r="R10" i="1" s="1"/>
  <c r="R8" i="1" a="1"/>
  <c r="R8" i="1" s="1"/>
  <c r="R11" i="1" a="1"/>
  <c r="R11" i="1" s="1"/>
  <c r="R13" i="1" a="1"/>
  <c r="R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<sst xmlns="http://schemas.openxmlformats.org/spreadsheetml/2006/main" count="57" uniqueCount="50">
  <si>
    <t>N</t>
  </si>
  <si>
    <t>i = 8</t>
  </si>
  <si>
    <t>i = 7</t>
  </si>
  <si>
    <t>i = 6</t>
  </si>
  <si>
    <t>i = 5</t>
  </si>
  <si>
    <t>i = 4</t>
  </si>
  <si>
    <t>i = 3</t>
  </si>
  <si>
    <t>i = 2</t>
  </si>
  <si>
    <t>i = 1</t>
  </si>
  <si>
    <r>
      <t>X</t>
    </r>
    <r>
      <rPr>
        <sz val="8"/>
        <color theme="1"/>
        <rFont val="Calibri"/>
        <family val="2"/>
        <scheme val="minor"/>
      </rPr>
      <t>8</t>
    </r>
  </si>
  <si>
    <r>
      <t>X</t>
    </r>
    <r>
      <rPr>
        <sz val="8"/>
        <color theme="1"/>
        <rFont val="Calibri"/>
        <family val="2"/>
        <scheme val="minor"/>
      </rPr>
      <t>7</t>
    </r>
  </si>
  <si>
    <r>
      <t>X</t>
    </r>
    <r>
      <rPr>
        <sz val="8"/>
        <color theme="1"/>
        <rFont val="Calibri"/>
        <family val="2"/>
        <scheme val="minor"/>
      </rPr>
      <t>6</t>
    </r>
  </si>
  <si>
    <r>
      <t>X</t>
    </r>
    <r>
      <rPr>
        <sz val="8"/>
        <color theme="1"/>
        <rFont val="Calibri"/>
        <family val="2"/>
        <scheme val="minor"/>
      </rPr>
      <t>5</t>
    </r>
  </si>
  <si>
    <r>
      <t>X</t>
    </r>
    <r>
      <rPr>
        <sz val="8"/>
        <color theme="1"/>
        <rFont val="Calibri"/>
        <family val="2"/>
        <scheme val="minor"/>
      </rPr>
      <t>4</t>
    </r>
  </si>
  <si>
    <r>
      <t>X</t>
    </r>
    <r>
      <rPr>
        <sz val="8"/>
        <color theme="1"/>
        <rFont val="Calibri"/>
        <family val="2"/>
        <scheme val="minor"/>
      </rPr>
      <t>3</t>
    </r>
  </si>
  <si>
    <r>
      <t>X</t>
    </r>
    <r>
      <rPr>
        <sz val="8"/>
        <color theme="1"/>
        <rFont val="Calibri"/>
        <family val="2"/>
        <scheme val="minor"/>
      </rPr>
      <t>2</t>
    </r>
  </si>
  <si>
    <r>
      <t>X</t>
    </r>
    <r>
      <rPr>
        <sz val="8"/>
        <color theme="1"/>
        <rFont val="Calibri"/>
        <family val="2"/>
        <scheme val="minor"/>
      </rPr>
      <t>1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</si>
  <si>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8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</si>
  <si>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7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</si>
  <si>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6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</si>
  <si>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5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</si>
  <si>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4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</si>
  <si>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3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</si>
  <si>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2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</si>
  <si>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1</t>
    </r>
  </si>
  <si>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(t)</t>
    </r>
  </si>
  <si>
    <t>P</t>
  </si>
  <si>
    <t>Прирост выпуска продукции, млн. руб.</t>
  </si>
  <si>
    <r>
      <t>f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(x)</t>
    </r>
  </si>
  <si>
    <r>
      <t>f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(x)</t>
    </r>
  </si>
  <si>
    <r>
      <t>f</t>
    </r>
    <r>
      <rPr>
        <sz val="8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(x)</t>
    </r>
  </si>
  <si>
    <r>
      <t>f</t>
    </r>
    <r>
      <rPr>
        <sz val="8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(x)</t>
    </r>
  </si>
  <si>
    <r>
      <t>X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(c) </t>
    </r>
  </si>
  <si>
    <r>
      <t>B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204"/>
        <scheme val="minor"/>
      </rPr>
      <t>(c)</t>
    </r>
  </si>
  <si>
    <t>c,
млн. руб.</t>
  </si>
  <si>
    <t>c\x</t>
  </si>
  <si>
    <r>
      <t>B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204"/>
        <scheme val="minor"/>
      </rPr>
      <t>(c)</t>
    </r>
  </si>
  <si>
    <r>
      <t>X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charset val="204"/>
        <scheme val="minor"/>
      </rPr>
      <t xml:space="preserve">(c) </t>
    </r>
  </si>
  <si>
    <r>
      <t>B</t>
    </r>
    <r>
      <rPr>
        <sz val="8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204"/>
        <scheme val="minor"/>
      </rPr>
      <t>(c)</t>
    </r>
  </si>
  <si>
    <r>
      <t>X</t>
    </r>
    <r>
      <rPr>
        <sz val="8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charset val="204"/>
        <scheme val="minor"/>
      </rPr>
      <t xml:space="preserve">(c) </t>
    </r>
  </si>
  <si>
    <t>0, 50</t>
  </si>
  <si>
    <r>
      <t>B</t>
    </r>
    <r>
      <rPr>
        <sz val="8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charset val="204"/>
        <scheme val="minor"/>
      </rPr>
      <t>(c)</t>
    </r>
  </si>
  <si>
    <r>
      <t>X</t>
    </r>
    <r>
      <rPr>
        <sz val="8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charset val="204"/>
        <scheme val="minor"/>
      </rPr>
      <t xml:space="preserve">(c) </t>
    </r>
  </si>
  <si>
    <r>
      <t>B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(x)</t>
    </r>
  </si>
  <si>
    <r>
      <t>B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(c)</t>
    </r>
  </si>
  <si>
    <r>
      <t>X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*(c) </t>
    </r>
  </si>
  <si>
    <r>
      <t>B</t>
    </r>
    <r>
      <rPr>
        <sz val="8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(c)</t>
    </r>
  </si>
  <si>
    <r>
      <t>X</t>
    </r>
    <r>
      <rPr>
        <sz val="8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*(c) </t>
    </r>
  </si>
  <si>
    <r>
      <t>B</t>
    </r>
    <r>
      <rPr>
        <sz val="8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(c)</t>
    </r>
  </si>
  <si>
    <r>
      <t>X</t>
    </r>
    <r>
      <rPr>
        <sz val="8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*(c)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</si>
</sst>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6" borderId="1" xfId="4" applyFill="1" applyBorder="1" applyAlignment="1">
      <alignment horizontal="center" wrapText="1"/>
    </xf>
    <xf numFmtId="0" fontId="1" fillId="6" borderId="1" xfId="4" applyFill="1" applyBorder="1" applyAlignment="1">
      <alignment horizontal="center"/>
    </xf>
    <xf numFmtId="0" fontId="1" fillId="6" borderId="1" xfId="3" applyFill="1" applyBorder="1" applyAlignment="1">
      <alignment horizontal="center"/>
    </xf>
    <xf numFmtId="0" fontId="1" fillId="6" borderId="5" xfId="4" applyFill="1" applyBorder="1" applyAlignment="1">
      <alignment horizontal="center"/>
    </xf>
    <xf numFmtId="0" fontId="1" fillId="6" borderId="12" xfId="4" applyFill="1" applyBorder="1" applyAlignment="1">
      <alignment horizontal="center"/>
    </xf>
    <xf numFmtId="0" fontId="1" fillId="6" borderId="2" xfId="4" applyFill="1" applyBorder="1" applyAlignment="1">
      <alignment horizontal="center"/>
    </xf>
    <xf numFmtId="0" fontId="0" fillId="6" borderId="1" xfId="4" applyFont="1" applyFill="1" applyBorder="1" applyAlignment="1">
      <alignment horizontal="center"/>
    </xf>
    <xf numFmtId="0" fontId="7" fillId="6" borderId="1" xfId="2" applyFont="1" applyFill="1" applyBorder="1" applyAlignment="1">
      <alignment horizontal="center"/>
    </xf>
    <xf numFmtId="0" fontId="7" fillId="6" borderId="1" xfId="1" applyFont="1" applyFill="1" applyBorder="1" applyAlignment="1">
      <alignment horizontal="center"/>
    </xf>
    <xf numFmtId="0" fontId="1" fillId="6" borderId="5" xfId="4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6" borderId="4" xfId="3" applyFill="1" applyBorder="1" applyAlignment="1">
      <alignment horizontal="center"/>
    </xf>
    <xf numFmtId="0" fontId="1" fillId="6" borderId="4" xfId="4" applyFill="1" applyBorder="1" applyAlignment="1">
      <alignment horizontal="center"/>
    </xf>
    <xf numFmtId="0" fontId="2" fillId="6" borderId="7" xfId="3" applyFont="1" applyFill="1" applyBorder="1" applyAlignment="1">
      <alignment horizontal="center"/>
    </xf>
    <xf numFmtId="0" fontId="2" fillId="6" borderId="8" xfId="4" applyFont="1" applyFill="1" applyBorder="1" applyAlignment="1">
      <alignment horizontal="center"/>
    </xf>
  </cellXfs>
  <cellStyles count="5">
    <cellStyle name="20% - Accent1" xfId="1" builtinId="30"/>
    <cellStyle name="40% - Accent3" xfId="3" builtinId="39"/>
    <cellStyle name="60% - Accent1" xfId="2" builtinId="32"/>
    <cellStyle name="60% - Accent3" xfId="4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AD50"/>
  <sheetViews>
    <sheetView tabSelected="1" topLeftCell="P31" workbookViewId="0">
      <selection activeCell="AF47" sqref="AF47"/>
    </sheetView>
  </sheetViews>
  <sheetFormatPr defaultRowHeight="14.25" x14ac:dyDescent="0.45"/>
  <cols>
    <col min="4" max="19" width="4.53125" customWidth="1"/>
  </cols>
  <sheetData>
    <row r="4" spans="3:28" x14ac:dyDescent="0.45">
      <c r="C4" s="2" t="s">
        <v>0</v>
      </c>
      <c r="D4" s="8" t="s">
        <v>1</v>
      </c>
      <c r="E4" s="8"/>
      <c r="F4" s="8" t="s">
        <v>2</v>
      </c>
      <c r="G4" s="8"/>
      <c r="H4" s="8" t="s">
        <v>3</v>
      </c>
      <c r="I4" s="8"/>
      <c r="J4" s="8" t="s">
        <v>4</v>
      </c>
      <c r="K4" s="8"/>
      <c r="L4" s="8" t="s">
        <v>5</v>
      </c>
      <c r="M4" s="8"/>
      <c r="N4" s="8" t="s">
        <v>6</v>
      </c>
      <c r="O4" s="8"/>
      <c r="P4" s="8" t="s">
        <v>7</v>
      </c>
      <c r="Q4" s="8"/>
      <c r="R4" s="8" t="s">
        <v>8</v>
      </c>
      <c r="S4" s="8"/>
      <c r="V4" s="18" t="s">
        <v>34</v>
      </c>
      <c r="W4" s="21" t="s">
        <v>27</v>
      </c>
      <c r="X4" s="22"/>
      <c r="Y4" s="22"/>
      <c r="Z4" s="23"/>
    </row>
    <row r="5" spans="3:28" x14ac:dyDescent="0.45">
      <c r="C5" s="2"/>
      <c r="D5" s="2" t="s">
        <v>9</v>
      </c>
      <c r="E5" s="2" t="s">
        <v>17</v>
      </c>
      <c r="F5" s="6" t="s">
        <v>10</v>
      </c>
      <c r="G5" s="2" t="s">
        <v>18</v>
      </c>
      <c r="H5" s="6" t="s">
        <v>11</v>
      </c>
      <c r="I5" s="2" t="s">
        <v>19</v>
      </c>
      <c r="J5" s="6" t="s">
        <v>12</v>
      </c>
      <c r="K5" s="2" t="s">
        <v>20</v>
      </c>
      <c r="L5" s="6" t="s">
        <v>13</v>
      </c>
      <c r="M5" s="2" t="s">
        <v>21</v>
      </c>
      <c r="N5" s="6" t="s">
        <v>14</v>
      </c>
      <c r="O5" s="2" t="s">
        <v>22</v>
      </c>
      <c r="P5" s="6" t="s">
        <v>15</v>
      </c>
      <c r="Q5" s="2" t="s">
        <v>23</v>
      </c>
      <c r="R5" s="6" t="s">
        <v>16</v>
      </c>
      <c r="S5" s="2" t="s">
        <v>24</v>
      </c>
      <c r="V5" s="18"/>
      <c r="W5" s="24" t="s">
        <v>28</v>
      </c>
      <c r="X5" s="24" t="s">
        <v>29</v>
      </c>
      <c r="Y5" s="24" t="s">
        <v>30</v>
      </c>
      <c r="Z5" s="24" t="s">
        <v>31</v>
      </c>
    </row>
    <row r="6" spans="3:28" ht="14.65" thickBot="1" x14ac:dyDescent="0.5">
      <c r="C6" s="2"/>
      <c r="D6" s="2"/>
      <c r="E6" s="2"/>
      <c r="F6" s="7"/>
      <c r="G6" s="2"/>
      <c r="H6" s="7"/>
      <c r="I6" s="2"/>
      <c r="J6" s="7"/>
      <c r="K6" s="2"/>
      <c r="L6" s="7"/>
      <c r="M6" s="2"/>
      <c r="N6" s="7"/>
      <c r="O6" s="2"/>
      <c r="P6" s="7"/>
      <c r="Q6" s="2"/>
      <c r="R6" s="11"/>
      <c r="S6" s="6"/>
      <c r="V6" s="19">
        <v>50</v>
      </c>
      <c r="W6" s="20">
        <v>10</v>
      </c>
      <c r="X6" s="20">
        <v>9</v>
      </c>
      <c r="Y6" s="20">
        <v>7</v>
      </c>
      <c r="Z6" s="20">
        <v>8</v>
      </c>
    </row>
    <row r="7" spans="3:28" ht="14.65" thickBot="1" x14ac:dyDescent="0.5">
      <c r="C7" s="9">
        <v>0</v>
      </c>
      <c r="D7" s="3">
        <v>0</v>
      </c>
      <c r="E7" s="3">
        <v>10</v>
      </c>
      <c r="F7" s="3">
        <v>0</v>
      </c>
      <c r="G7" s="3">
        <f>MAX(($D$19+E8), ($D$19 - $O$18 + E$8))</f>
        <v>19</v>
      </c>
      <c r="H7" s="4">
        <v>0</v>
      </c>
      <c r="I7" s="4">
        <f>MAX(($D$19+G8), ($D$19 - $O$18 + G$8))</f>
        <v>27</v>
      </c>
      <c r="J7" s="3">
        <v>0</v>
      </c>
      <c r="K7" s="3">
        <f>MAX(($D$19+I8), ($D$19 - $O$18 + I$8))</f>
        <v>34</v>
      </c>
      <c r="L7" s="3">
        <v>0</v>
      </c>
      <c r="M7" s="3">
        <f>MAX(($D$19+K8), ($D$19 - $O$18 + K$8))</f>
        <v>39</v>
      </c>
      <c r="N7" s="3">
        <v>0</v>
      </c>
      <c r="O7" s="3">
        <f>MAX(($D$19+M8), ($D$19 - $O$18 + M$8))</f>
        <v>44</v>
      </c>
      <c r="P7" s="4">
        <v>0</v>
      </c>
      <c r="Q7" s="14">
        <f>MAX(($D$19+O8), ($D$19 - $O$18 + O$8))</f>
        <v>51</v>
      </c>
      <c r="R7" s="12">
        <v>0</v>
      </c>
      <c r="S7" s="13">
        <f>MAX(($D$19+Q8), ($D$19 - $O$18 + Q$8))</f>
        <v>58</v>
      </c>
      <c r="V7" s="19">
        <v>100</v>
      </c>
      <c r="W7" s="20">
        <v>15</v>
      </c>
      <c r="X7" s="20">
        <v>16</v>
      </c>
      <c r="Y7" s="20">
        <v>13</v>
      </c>
      <c r="Z7" s="20">
        <v>14</v>
      </c>
    </row>
    <row r="8" spans="3:28" ht="14.65" thickBot="1" x14ac:dyDescent="0.5">
      <c r="C8" s="9">
        <v>1</v>
      </c>
      <c r="D8" s="1" cm="1">
        <f t="array" ref="D8">_xlfn.IFS(AND(E8&lt;E7, E8&gt;E9), 0, AND(E8&lt;E7, E8=E9), "0/1", E8=E7, 1)</f>
        <v>0</v>
      </c>
      <c r="E8" s="3">
        <f>IF(E$19 &gt; ($D$19 - $O$18), E$19, ($D$19 - $O$18))</f>
        <v>9</v>
      </c>
      <c r="F8" s="1" cm="1">
        <f t="array" ref="F8">_xlfn.IFS(AND(G8&lt;G7, G8&gt;G9), 0, AND(G8&lt;G7, G8=G9), "0/1", G8=G7, 1)</f>
        <v>0</v>
      </c>
      <c r="G8" s="14">
        <f>MAX(($E$19+E9), ($D$19 - $O$18 + E$8))</f>
        <v>17</v>
      </c>
      <c r="H8" s="15" cm="1">
        <f t="array" ref="H8">_xlfn.IFS(AND(I8&lt;I7, I8&gt;I9), 0, AND(I8&lt;I7, I8=I9), "0/1", I8=I7, 1)</f>
        <v>0</v>
      </c>
      <c r="I8" s="13">
        <f>MAX(($E$19+G9), ($D$19 - $O$18 + G$8))</f>
        <v>24</v>
      </c>
      <c r="J8" s="1" cm="1">
        <f t="array" ref="J8">_xlfn.IFS(AND(K8&lt;K7, K8&gt;K9), 0, AND(K8&lt;K7, K8=K9), "0/1", K8=K7, 1)</f>
        <v>0</v>
      </c>
      <c r="K8" s="3">
        <f>MAX(($E$19+I9), ($D$19 - $O$18 + I$8))</f>
        <v>29</v>
      </c>
      <c r="L8" s="1" cm="1">
        <f t="array" ref="L8">_xlfn.IFS(AND(M8&lt;M7, M8&gt;M9), 0, AND(M8&lt;M7, M8=M9), "0/1", M8=M7, 1)</f>
        <v>0</v>
      </c>
      <c r="M8" s="3">
        <f>MAX(($E$19+K9), ($D$19 - $O$18 + K$8))</f>
        <v>34</v>
      </c>
      <c r="N8" s="1" cm="1">
        <f t="array" ref="N8">_xlfn.IFS(AND(O8&lt;O7, O8&gt;O9), 0, AND(O8&lt;O7, O8=O9), "0/1", O8=O7, 1)</f>
        <v>0</v>
      </c>
      <c r="O8" s="14">
        <f>MAX(($E$19+M9), ($D$19 - $O$18 + M$8))</f>
        <v>41</v>
      </c>
      <c r="P8" s="15" cm="1">
        <f t="array" ref="P8">_xlfn.IFS(AND(Q8&lt;Q7, Q8&gt;Q9), 0, AND(Q8&lt;Q7, Q8=Q9), "0/1", Q8=Q7, 1)</f>
        <v>0</v>
      </c>
      <c r="Q8" s="13">
        <f>MAX(($E$19+O9), ($D$19 - $O$18 + O$8))</f>
        <v>48</v>
      </c>
      <c r="R8" s="1" cm="1">
        <f t="array" ref="R8">_xlfn.IFS(AND(S8&lt;S7, S8&gt;S9), 0, AND(S8&lt;S7, S8=S9), "0/1", S8=S7, 1)</f>
        <v>0</v>
      </c>
      <c r="S8" s="5">
        <f>MAX(($E$19+Q9), ($D$19 - $O$18 + Q$8))</f>
        <v>53</v>
      </c>
      <c r="V8" s="19">
        <v>150</v>
      </c>
      <c r="W8" s="20">
        <v>24</v>
      </c>
      <c r="X8" s="20">
        <v>22</v>
      </c>
      <c r="Y8" s="20">
        <v>20</v>
      </c>
      <c r="Z8" s="20">
        <v>21</v>
      </c>
    </row>
    <row r="9" spans="3:28" ht="14.65" thickBot="1" x14ac:dyDescent="0.5">
      <c r="C9" s="9">
        <v>2</v>
      </c>
      <c r="D9" s="4" cm="1">
        <f t="array" ref="D9">_xlfn.IFS(AND(E9&lt;E8, E9&gt;E10), 0, AND(E9&lt;E8, E9=E10), "0/1", E9=E8, 1)</f>
        <v>0</v>
      </c>
      <c r="E9" s="14">
        <f>IF(F$19 &gt; ($D$19 - $O$18), F$19, ($D$19 - $O$18))</f>
        <v>8</v>
      </c>
      <c r="F9" s="12" cm="1">
        <f t="array" ref="F9">_xlfn.IFS(AND(G9&lt;G8, G9&gt;G10), 0, AND(G9&lt;G8, G9=G10), "0/1", G9=G8, 1)</f>
        <v>0</v>
      </c>
      <c r="G9" s="13">
        <f>MAX(($F$19+E10), ($D$19 - $O$18 + E$8))</f>
        <v>15</v>
      </c>
      <c r="H9" s="16" cm="1">
        <f t="array" ref="H9">_xlfn.IFS(AND(I9&lt;I8, I9&gt;I10), 0, AND(I9&lt;I8, I9=I10), "0/1", I9=I8, 1)</f>
        <v>0</v>
      </c>
      <c r="I9" s="5">
        <f>MAX(($F$19+G10), ($D$19 - $O$18 + G$8))</f>
        <v>20</v>
      </c>
      <c r="J9" s="3" cm="1">
        <f t="array" ref="J9">_xlfn.IFS(AND(K9&lt;K8, K9&gt;K10), 0, AND(K9&lt;K8, K9=K10), "0/1", K9=K8, 1)</f>
        <v>0</v>
      </c>
      <c r="K9" s="3">
        <f>MAX(($F$19+I10), ($D$19 - $O$18 + I$8))</f>
        <v>25</v>
      </c>
      <c r="L9" s="4" cm="1">
        <f t="array" ref="L9">_xlfn.IFS(AND(M9&lt;M8, M9&gt;M10), 0, AND(M9&lt;M8, M9=M10), "0/1", M9=M8, 1)</f>
        <v>0</v>
      </c>
      <c r="M9" s="14">
        <f>MAX(($F$19+K10), ($D$19 - $O$18 + K$8))</f>
        <v>32</v>
      </c>
      <c r="N9" s="12" cm="1">
        <f t="array" ref="N9">_xlfn.IFS(AND(O9&lt;O8, O9&gt;O10), 0, AND(O9&lt;O8, O9=O10), "0/1", O9=O8, 1)</f>
        <v>0</v>
      </c>
      <c r="O9" s="13">
        <f>MAX(($F$19+M10), ($D$19 - $O$18 + M$8))</f>
        <v>39</v>
      </c>
      <c r="P9" s="16" cm="1">
        <f t="array" ref="P9">_xlfn.IFS(AND(Q9&lt;Q8, Q9&gt;Q10), 0, AND(Q9&lt;Q8, Q9=Q10), "0/1", Q9=Q8, 1)</f>
        <v>0</v>
      </c>
      <c r="Q9" s="5">
        <f>MAX(($F$19+O10), ($D$19 - $O$18 + O$8))</f>
        <v>44</v>
      </c>
      <c r="R9" s="3" cm="1">
        <f t="array" ref="R9">_xlfn.IFS(AND(S9&lt;S8, S9&gt;S10), 0, AND(S9&lt;S8, S9=S10), "0/1", S9=S8, 1)</f>
        <v>0</v>
      </c>
      <c r="S9" s="3">
        <f>MAX(($F$19+Q10), ($D$19 - $O$18 + Q$8))</f>
        <v>49</v>
      </c>
      <c r="V9" s="19">
        <v>200</v>
      </c>
      <c r="W9" s="20">
        <v>33</v>
      </c>
      <c r="X9" s="20">
        <v>34</v>
      </c>
      <c r="Y9" s="20">
        <v>31</v>
      </c>
      <c r="Z9" s="20">
        <v>32</v>
      </c>
    </row>
    <row r="10" spans="3:28" ht="14.65" thickBot="1" x14ac:dyDescent="0.5">
      <c r="C10" s="17">
        <v>3</v>
      </c>
      <c r="D10" s="15" cm="1">
        <f t="array" ref="D10">_xlfn.IFS(AND(E10&lt;E9, E10&gt;E11), 0, AND(E10&lt;E9, E10=E11), "0/1", E10=E9, 1)</f>
        <v>0</v>
      </c>
      <c r="E10" s="13">
        <f>IF(G$19 &gt; ($D$19 - $O$18), G$19, ($D$19 - $O$18))</f>
        <v>7</v>
      </c>
      <c r="F10" s="1" cm="1">
        <f t="array" ref="F10">_xlfn.IFS(AND(G10&lt;G9, G10&gt;G11), 0, AND(G10&lt;G9, G10=G11), "0/1", G10=G9, 1)</f>
        <v>0</v>
      </c>
      <c r="G10" s="5">
        <f>MAX(($G$19+E11), ($D$19 - $O$18 + E$8))</f>
        <v>12</v>
      </c>
      <c r="H10" s="1" t="str" cm="1">
        <f t="array" ref="H10">_xlfn.IFS(AND(I10&lt;I9, I10&gt;I11), 0, AND(I10&lt;I9, I10=I11), "0/1", I10=I9, 1)</f>
        <v>0/1</v>
      </c>
      <c r="I10" s="3">
        <f>MAX(($G$19+G11), ($D$19 - $O$18 + G$8))</f>
        <v>17</v>
      </c>
      <c r="J10" s="1" t="str" cm="1">
        <f t="array" ref="J10">_xlfn.IFS(AND(K10&lt;K9, K10&gt;K11), 0, AND(K10&lt;K9, K10=K11), "0/1", K10=K9, 1)</f>
        <v>0/1</v>
      </c>
      <c r="K10" s="14">
        <f>MAX(($G$19+I11), ($D$19 - $O$18 + I$8))</f>
        <v>24</v>
      </c>
      <c r="L10" s="15" cm="1">
        <f t="array" ref="L10">_xlfn.IFS(AND(M10&lt;M9, M10&gt;M11), 0, AND(M10&lt;M9, M10=M11), "0/1", M10=M9, 1)</f>
        <v>0</v>
      </c>
      <c r="M10" s="13">
        <f>MAX(($G$19+K11), ($D$19 - $O$18 + K$8))</f>
        <v>31</v>
      </c>
      <c r="N10" s="1" cm="1">
        <f t="array" ref="N10">_xlfn.IFS(AND(O10&lt;O9, O10&gt;O11), 0, AND(O10&lt;O9, O10=O11), "0/1", O10=O9, 1)</f>
        <v>0</v>
      </c>
      <c r="O10" s="5">
        <f>MAX(($G$19+M11), ($D$19 - $O$18 + M$8))</f>
        <v>36</v>
      </c>
      <c r="P10" s="1" t="str" cm="1">
        <f t="array" ref="P10">_xlfn.IFS(AND(Q10&lt;Q9, Q10&gt;Q11), 0, AND(Q10&lt;Q9, Q10=Q11), "0/1", Q10=Q9, 1)</f>
        <v>0/1</v>
      </c>
      <c r="Q10" s="3">
        <f>MAX(($G$19+O11), ($D$19 - $O$18 + O$8))</f>
        <v>41</v>
      </c>
      <c r="R10" s="1" t="str" cm="1">
        <f t="array" ref="R10">_xlfn.IFS(AND(S10&lt;S9, S10&gt;S11), 0, AND(S10&lt;S9, S10=S11), "0/1", S10=S9, 1)</f>
        <v>0/1</v>
      </c>
      <c r="S10" s="3">
        <f>MAX(($G$19+Q11), ($D$19 - $O$18 + Q$8))</f>
        <v>48</v>
      </c>
      <c r="V10" s="19">
        <v>250</v>
      </c>
      <c r="W10" s="20">
        <v>40</v>
      </c>
      <c r="X10" s="20">
        <v>39</v>
      </c>
      <c r="Y10" s="20">
        <v>41</v>
      </c>
      <c r="Z10" s="20">
        <v>40</v>
      </c>
    </row>
    <row r="11" spans="3:28" ht="14.65" thickBot="1" x14ac:dyDescent="0.5">
      <c r="C11" s="9">
        <v>4</v>
      </c>
      <c r="D11" s="5" cm="1">
        <f t="array" ref="D11">_xlfn.IFS(AND(E11&lt;E10, E11&gt;E12), 0, AND(E11&lt;E10, E11=E12), "0/1", E11=E10, 1)</f>
        <v>0</v>
      </c>
      <c r="E11" s="5">
        <f>IF(H$19 &gt; ($D$19 - $O$18), H$19, ($D$19 - $O$18))</f>
        <v>5</v>
      </c>
      <c r="F11" s="3" t="str" cm="1">
        <f t="array" ref="F11">_xlfn.IFS(AND(G11&lt;G10, G11&gt;G12), 0, AND(G11&lt;G10, G11=G12), "0/1", G11=G10, 1)</f>
        <v>0/1</v>
      </c>
      <c r="G11" s="3">
        <f>MAX(($H$19+E12), ($D$19 - $O$18 + E$8))</f>
        <v>9</v>
      </c>
      <c r="H11" s="3" cm="1">
        <f t="array" ref="H11">_xlfn.IFS(AND(I11&lt;I10, I11&gt;I12), 0, AND(I11&lt;I10, I11=I12), "0/1", I11=I10, 1)</f>
        <v>1</v>
      </c>
      <c r="I11" s="10">
        <f>MAX(($H$19+G12), ($D$19 - $O$18 + G$8))</f>
        <v>17</v>
      </c>
      <c r="J11" s="12" cm="1">
        <f t="array" ref="J11">_xlfn.IFS(AND(K11&lt;K10, K11&gt;K12), 0, AND(K11&lt;K10, K11=K12), "0/1", K11=K10, 1)</f>
        <v>1</v>
      </c>
      <c r="K11" s="13">
        <f>MAX(($H$19+I12), ($D$19 - $O$18 + I$8))</f>
        <v>24</v>
      </c>
      <c r="L11" s="16" t="str" cm="1">
        <f t="array" ref="L11">_xlfn.IFS(AND(M11&lt;M10, M11&gt;M12), 0, AND(M11&lt;M10, M11=M12), "0/1", M11=M10, 1)</f>
        <v>0/1</v>
      </c>
      <c r="M11" s="5">
        <f>MAX(($H$19+K12), ($D$19 - $O$18 + K$8))</f>
        <v>29</v>
      </c>
      <c r="N11" s="3" t="str" cm="1">
        <f t="array" ref="N11">_xlfn.IFS(AND(O11&lt;O10, O11&gt;O12), 0, AND(O11&lt;O10, O11=O12), "0/1", O11=O10, 1)</f>
        <v>0/1</v>
      </c>
      <c r="O11" s="3">
        <f>MAX(($H$19+M12), ($D$19 - $O$18 + M$8))</f>
        <v>34</v>
      </c>
      <c r="P11" s="3" cm="1">
        <f t="array" ref="P11">_xlfn.IFS(AND(Q11&lt;Q10, Q11&gt;Q12), 0, AND(Q11&lt;Q10, Q11=Q12), "0/1", Q11=Q10, 1)</f>
        <v>1</v>
      </c>
      <c r="Q11" s="3">
        <f>MAX(($H$19+O12), ($D$19 - $O$18 + O$8))</f>
        <v>41</v>
      </c>
      <c r="R11" s="3" cm="1">
        <f t="array" ref="R11">_xlfn.IFS(AND(S11&lt;S10, S11&gt;S12), 0, AND(S11&lt;S10, S11=S12), "0/1", S11=S10, 1)</f>
        <v>1</v>
      </c>
      <c r="S11" s="3">
        <f>MAX(($H$19+Q12), ($D$19 - $O$18 + Q$8))</f>
        <v>48</v>
      </c>
    </row>
    <row r="12" spans="3:28" x14ac:dyDescent="0.45">
      <c r="C12" s="9">
        <v>5</v>
      </c>
      <c r="D12" s="1" cm="1">
        <f t="array" ref="D12">_xlfn.IFS(AND(E12&lt;E11, E12&gt;E13), 0, AND(E12&lt;E11, E12=E13), "0/1", E12=E11, 1)</f>
        <v>0</v>
      </c>
      <c r="E12" s="3">
        <f>IF(I$19 &gt; ($D$19 - $O$18), I$19, ($D$19 - $O$18))</f>
        <v>3</v>
      </c>
      <c r="F12" s="1" cm="1">
        <f t="array" ref="F12">_xlfn.IFS(AND(G12&lt;G11, G12&gt;G13), 0, AND(G12&lt;G11, G12=G13), "0/1", G12=G11, 1)</f>
        <v>1</v>
      </c>
      <c r="G12" s="3">
        <f>MAX(($I$19+E13), ($D$19 - $O$18 + E$8))</f>
        <v>9</v>
      </c>
      <c r="H12" s="1" cm="1">
        <f t="array" ref="H12">_xlfn.IFS(AND(I12&lt;I11, I12&gt;I13), 0, AND(I12&lt;I11, I12=I13), "0/1", I12=I11, 1)</f>
        <v>1</v>
      </c>
      <c r="I12" s="3">
        <f>MAX(($I$19+G13), ($D$19 - $O$18 + G$8))</f>
        <v>17</v>
      </c>
      <c r="J12" s="1" cm="1">
        <f t="array" ref="J12">_xlfn.IFS(AND(K12&lt;K11, K12&gt;K13), 0, AND(K12&lt;K11, K12=K13), "0/1", K12=K11, 1)</f>
        <v>1</v>
      </c>
      <c r="K12" s="5">
        <f>MAX(($I$19+I13), ($D$19 - $O$18 + I$8))</f>
        <v>24</v>
      </c>
      <c r="L12" s="1" cm="1">
        <f t="array" ref="L12">_xlfn.IFS(AND(M12&lt;M11, M12&gt;M13), 0, AND(M12&lt;M11, M12=M13), "0/1", M12=M11, 1)</f>
        <v>1</v>
      </c>
      <c r="M12" s="3">
        <f>MAX(($I$19+K13), ($D$19 - $O$18 + K$8))</f>
        <v>29</v>
      </c>
      <c r="N12" s="1" cm="1">
        <f t="array" ref="N12">_xlfn.IFS(AND(O12&lt;O11, O12&gt;O13), 0, AND(O12&lt;O11, O12=O13), "0/1", O12=O11, 1)</f>
        <v>1</v>
      </c>
      <c r="O12" s="3">
        <f>MAX(($I$19+M13), ($D$19 - $O$18 + M$8))</f>
        <v>34</v>
      </c>
      <c r="P12" s="1" cm="1">
        <f t="array" ref="P12">_xlfn.IFS(AND(Q12&lt;Q11, Q12&gt;Q13), 0, AND(Q12&lt;Q11, Q12=Q13), "0/1", Q12=Q11, 1)</f>
        <v>1</v>
      </c>
      <c r="Q12" s="3">
        <f>MAX(($I$19+O13), ($D$19 - $O$18 + O$8))</f>
        <v>41</v>
      </c>
      <c r="R12" s="1" cm="1">
        <f t="array" ref="R12">_xlfn.IFS(AND(S12&lt;S11, S12&gt;S13), 0, AND(S12&lt;S11, S12=S13), "0/1", S12=S11, 1)</f>
        <v>1</v>
      </c>
      <c r="S12" s="3">
        <f>MAX(($I$19+Q13), ($D$19 - $O$18 + Q$8))</f>
        <v>48</v>
      </c>
    </row>
    <row r="13" spans="3:28" x14ac:dyDescent="0.45">
      <c r="C13" s="9">
        <v>6</v>
      </c>
      <c r="D13" s="3" cm="1">
        <f t="array" ref="D13">_xlfn.IFS(AND(E13&lt;E12, E13&gt;E14), 0, AND(E13&lt;E12, E13=E14), "0/1", E13=E12, 1)</f>
        <v>0</v>
      </c>
      <c r="E13" s="3">
        <f>IF(J$19 &gt; ($D$19 - $O$18), J$19, ($D$19 - $O$18))</f>
        <v>1</v>
      </c>
      <c r="F13" s="3" cm="1">
        <f t="array" ref="F13">_xlfn.IFS(AND(G13&lt;G12, G13&gt;G14), 0, AND(G13&lt;G12, G13=G14), "0/1", G13=G12, 1)</f>
        <v>1</v>
      </c>
      <c r="G13" s="3">
        <f>MAX(($J$19+E14), ($D$19 - $O$18 + E$8))</f>
        <v>9</v>
      </c>
      <c r="H13" s="3" cm="1">
        <f t="array" ref="H13">_xlfn.IFS(AND(I13&lt;I12, I13&gt;I14), 0, AND(I13&lt;I12, I13=I14), "0/1", I13=I12, 1)</f>
        <v>1</v>
      </c>
      <c r="I13" s="3">
        <f>MAX(($J$19+G14), ($D$19 - $O$18 + G$8))</f>
        <v>17</v>
      </c>
      <c r="J13" s="3" cm="1">
        <f t="array" ref="J13">_xlfn.IFS(AND(K13&lt;K12, K13&gt;K14), 0, AND(K13&lt;K12, K13=K14), "0/1", K13=K12, 1)</f>
        <v>1</v>
      </c>
      <c r="K13" s="3">
        <f>MAX(($J$19+I14), ($D$19 - $O$18 + I$8))</f>
        <v>24</v>
      </c>
      <c r="L13" s="3" cm="1">
        <f t="array" ref="L13">_xlfn.IFS(AND(M13&lt;M12, M13&gt;M14), 0, AND(M13&lt;M12, M13=M14), "0/1", M13=M12, 1)</f>
        <v>1</v>
      </c>
      <c r="M13" s="3">
        <f>MAX(($J$19+K14), ($D$19 - $O$18 + K$8))</f>
        <v>29</v>
      </c>
      <c r="N13" s="3" cm="1">
        <f t="array" ref="N13">_xlfn.IFS(AND(O13&lt;O12, O13&gt;O14), 0, AND(O13&lt;O12, O13=O14), "0/1", O13=O12, 1)</f>
        <v>1</v>
      </c>
      <c r="O13" s="3">
        <f>MAX(($J$19+M14), ($D$19 - $O$18 + M$8))</f>
        <v>34</v>
      </c>
      <c r="P13" s="3" cm="1">
        <f t="array" ref="P13">_xlfn.IFS(AND(Q13&lt;Q12, Q13&gt;Q14), 0, AND(Q13&lt;Q12, Q13=Q14), "0/1", Q13=Q12, 1)</f>
        <v>1</v>
      </c>
      <c r="Q13" s="3">
        <f>MAX(($J$19+O14), ($D$19 - $O$18 + O$8))</f>
        <v>41</v>
      </c>
      <c r="R13" s="3" cm="1">
        <f t="array" ref="R13">_xlfn.IFS(AND(S13&lt;S12, S13&gt;S14), 0, AND(S13&lt;S12, S13=S14), "0/1", S13=S12, 1)</f>
        <v>1</v>
      </c>
      <c r="S13" s="3">
        <f>MAX(($J$19+Q14), ($D$19 - $O$18 + Q$8))</f>
        <v>48</v>
      </c>
      <c r="V13" s="25" t="s">
        <v>32</v>
      </c>
      <c r="W13" s="26">
        <v>0</v>
      </c>
      <c r="X13" s="26">
        <f>V6</f>
        <v>50</v>
      </c>
      <c r="Y13" s="26">
        <f>V7</f>
        <v>100</v>
      </c>
      <c r="Z13" s="26">
        <f>V8</f>
        <v>150</v>
      </c>
      <c r="AA13" s="26">
        <f>V9</f>
        <v>200</v>
      </c>
      <c r="AB13" s="26">
        <f>V10</f>
        <v>250</v>
      </c>
    </row>
    <row r="14" spans="3:28" x14ac:dyDescent="0.45">
      <c r="C14" s="9">
        <v>7</v>
      </c>
      <c r="D14" s="1" t="str" cm="1">
        <f t="array" ref="D14">_xlfn.IFS(AND(E14&lt;E13, E14&gt;E15), 0, AND(E14&lt;E13, E14=E15), "0/1", E14=E13, 1)</f>
        <v>0/1</v>
      </c>
      <c r="E14" s="3">
        <f>IF(K$19 &gt; ($D$19 - $O$18), K$19, ($D$19 - $O$18))</f>
        <v>0</v>
      </c>
      <c r="F14" s="1" cm="1">
        <f t="array" ref="F14">_xlfn.IFS(AND(G14&lt;G13, G14&gt;G15), 0, AND(G14&lt;G13, G14=G15), "0/1", G14=G13, 1)</f>
        <v>1</v>
      </c>
      <c r="G14" s="3">
        <f>MAX(($K$19+E15), ($D$19 - $O$18 + E$8))</f>
        <v>9</v>
      </c>
      <c r="H14" s="1" cm="1">
        <f t="array" ref="H14">_xlfn.IFS(AND(I14&lt;I13, I14&gt;I15), 0, AND(I14&lt;I13, I14=I15), "0/1", I14=I13, 1)</f>
        <v>1</v>
      </c>
      <c r="I14" s="3">
        <f>MAX(($K$19+G15), ($D$19 - $O$18 + G$8))</f>
        <v>17</v>
      </c>
      <c r="J14" s="1" cm="1">
        <f t="array" ref="J14">_xlfn.IFS(AND(K14&lt;K13, K14&gt;K15), 0, AND(K14&lt;K13, K14=K15), "0/1", K14=K13, 1)</f>
        <v>1</v>
      </c>
      <c r="K14" s="3">
        <f>MAX(($K$19+I15), ($D$19 - $O$18 + I$8))</f>
        <v>24</v>
      </c>
      <c r="L14" s="1" cm="1">
        <f t="array" ref="L14">_xlfn.IFS(AND(M14&lt;M13, M14&gt;M15), 0, AND(M14&lt;M13, M14=M15), "0/1", M14=M13, 1)</f>
        <v>1</v>
      </c>
      <c r="M14" s="3">
        <f>MAX(($K$19+K15), ($D$19 - $O$18 + K$8))</f>
        <v>29</v>
      </c>
      <c r="N14" s="1" cm="1">
        <f t="array" ref="N14">_xlfn.IFS(AND(O14&lt;O13, O14&gt;O15), 0, AND(O14&lt;O13, O14=O15), "0/1", O14=O13, 1)</f>
        <v>1</v>
      </c>
      <c r="O14" s="3">
        <f>MAX(($K$19+M15), ($D$19 - $O$18 + M$8))</f>
        <v>34</v>
      </c>
      <c r="P14" s="1" cm="1">
        <f t="array" ref="P14">_xlfn.IFS(AND(Q14&lt;Q13, Q14&gt;Q15), 0, AND(Q14&lt;Q13, Q14=Q15), "0/1", Q14=Q13, 1)</f>
        <v>1</v>
      </c>
      <c r="Q14" s="3">
        <f>MAX(($K$19+O15), ($D$19 - $O$18 + O$8))</f>
        <v>41</v>
      </c>
      <c r="R14" s="1" cm="1">
        <f t="array" ref="R14">_xlfn.IFS(AND(S14&lt;S13, S14&gt;S15), 0, AND(S14&lt;S13, S14=S15), "0/1", S14=S13, 1)</f>
        <v>1</v>
      </c>
      <c r="S14" s="3">
        <f>MAX(($K$19+Q15), ($D$19 - $O$18 + Q$8))</f>
        <v>48</v>
      </c>
      <c r="V14" s="25" t="s">
        <v>33</v>
      </c>
      <c r="W14" s="26">
        <v>0</v>
      </c>
      <c r="X14" s="26">
        <f>W6</f>
        <v>10</v>
      </c>
      <c r="Y14" s="26">
        <f>W7</f>
        <v>15</v>
      </c>
      <c r="Z14" s="26">
        <f>W8</f>
        <v>24</v>
      </c>
      <c r="AA14" s="26">
        <f>W9</f>
        <v>33</v>
      </c>
      <c r="AB14" s="26">
        <f>W10</f>
        <v>40</v>
      </c>
    </row>
    <row r="15" spans="3:28" x14ac:dyDescent="0.45">
      <c r="C15" s="9">
        <v>8</v>
      </c>
      <c r="D15" s="3" cm="1">
        <f t="array" ref="D15">_xlfn.IFS(AND(E15&lt;E14, E15&gt;E16), 0, AND(E15&lt;E14, E15=E16), "0/1", E15=E14, 1)</f>
        <v>1</v>
      </c>
      <c r="E15" s="3">
        <f>IF(L$19 &gt; ($D$19 - $O$18), L$19, ($D$19 - $O$18))</f>
        <v>0</v>
      </c>
      <c r="F15" s="3" cm="1">
        <f t="array" ref="F15">_xlfn.IFS(AND(G15&lt;G14, G15&gt;G16), 0, AND(G15&lt;G14, G15=G16), "0/1", G15=G14, 1)</f>
        <v>1</v>
      </c>
      <c r="G15" s="3">
        <f>MAX(($L$19+E16), ($D$19 - $O$18 + E$8))</f>
        <v>9</v>
      </c>
      <c r="H15" s="3" cm="1">
        <f t="array" ref="H15">_xlfn.IFS(AND(I15&lt;I14, I15&gt;I16), 0, AND(I15&lt;I14, I15=I16), "0/1", I15=I14, 1)</f>
        <v>1</v>
      </c>
      <c r="I15" s="3">
        <f>MAX(($L$19+G16), ($D$19 - $O$18 + G$8))</f>
        <v>17</v>
      </c>
      <c r="J15" s="3" cm="1">
        <f t="array" ref="J15">_xlfn.IFS(AND(K15&lt;K14, K15&gt;K16), 0, AND(K15&lt;K14, K15=K16), "0/1", K15=K14, 1)</f>
        <v>1</v>
      </c>
      <c r="K15" s="3">
        <f>MAX(($L$19+I16), ($D$19 - $O$18 + I$8))</f>
        <v>24</v>
      </c>
      <c r="L15" s="3" cm="1">
        <f t="array" ref="L15">_xlfn.IFS(AND(M15&lt;M14, M15&gt;M16), 0, AND(M15&lt;M14, M15=M16), "0/1", M15=M14, 1)</f>
        <v>1</v>
      </c>
      <c r="M15" s="3">
        <f>MAX(($L$19+K16), ($D$19 - $O$18 + K$8))</f>
        <v>29</v>
      </c>
      <c r="N15" s="3" cm="1">
        <f t="array" ref="N15">_xlfn.IFS(AND(O15&lt;O14, O15&gt;O16), 0, AND(O15&lt;O14, O15=O16), "0/1", O15=O14, 1)</f>
        <v>1</v>
      </c>
      <c r="O15" s="3">
        <f>MAX(($L$19+M16), ($D$19 - $O$18 + M$8))</f>
        <v>34</v>
      </c>
      <c r="P15" s="3" cm="1">
        <f t="array" ref="P15">_xlfn.IFS(AND(Q15&lt;Q14, Q15&gt;Q16), 0, AND(Q15&lt;Q14, Q15=Q16), "0/1", Q15=Q14, 1)</f>
        <v>1</v>
      </c>
      <c r="Q15" s="3">
        <f>MAX(($L$19+O16), ($D$19 - $O$18 + O$8))</f>
        <v>41</v>
      </c>
      <c r="R15" s="3" cm="1">
        <f t="array" ref="R15">_xlfn.IFS(AND(S15&lt;S14, S15&gt;S16), 0, AND(S15&lt;S14, S15=S16), "0/1", S15=S14, 1)</f>
        <v>1</v>
      </c>
      <c r="S15" s="3">
        <f>MAX(($L$19+Q16), ($D$19 - $O$18 + Q$8))</f>
        <v>48</v>
      </c>
    </row>
    <row r="17" spans="3:30" x14ac:dyDescent="0.45">
      <c r="V17" s="25" t="s">
        <v>35</v>
      </c>
      <c r="W17" s="25">
        <v>0</v>
      </c>
      <c r="X17" s="25">
        <v>50</v>
      </c>
      <c r="Y17" s="25">
        <v>100</v>
      </c>
      <c r="Z17" s="25">
        <v>150</v>
      </c>
      <c r="AA17" s="25">
        <v>200</v>
      </c>
      <c r="AB17" s="25">
        <v>250</v>
      </c>
      <c r="AC17" s="25" t="s">
        <v>36</v>
      </c>
      <c r="AD17" s="25" t="s">
        <v>37</v>
      </c>
    </row>
    <row r="18" spans="3:30" x14ac:dyDescent="0.45">
      <c r="C18" s="3" t="s">
        <v>0</v>
      </c>
      <c r="D18" s="3">
        <v>0</v>
      </c>
      <c r="E18" s="3">
        <v>1</v>
      </c>
      <c r="F18" s="3">
        <v>2</v>
      </c>
      <c r="G18" s="3">
        <v>3</v>
      </c>
      <c r="H18" s="3">
        <v>4</v>
      </c>
      <c r="I18" s="3">
        <v>5</v>
      </c>
      <c r="J18" s="3">
        <v>6</v>
      </c>
      <c r="K18" s="3">
        <v>7</v>
      </c>
      <c r="L18" s="3">
        <v>8</v>
      </c>
      <c r="N18" s="2" t="s">
        <v>26</v>
      </c>
      <c r="O18" s="2">
        <v>10</v>
      </c>
      <c r="V18" s="25">
        <v>0</v>
      </c>
      <c r="W18" s="26">
        <v>0</v>
      </c>
      <c r="X18" s="26"/>
      <c r="Y18" s="26"/>
      <c r="Z18" s="26"/>
      <c r="AA18" s="26"/>
      <c r="AB18" s="26"/>
      <c r="AC18" s="26">
        <v>0</v>
      </c>
      <c r="AD18" s="26">
        <v>0</v>
      </c>
    </row>
    <row r="19" spans="3:30" ht="15.75" x14ac:dyDescent="0.55000000000000004">
      <c r="C19" s="9" t="s">
        <v>25</v>
      </c>
      <c r="D19" s="3">
        <v>10</v>
      </c>
      <c r="E19" s="3">
        <v>9</v>
      </c>
      <c r="F19" s="3">
        <v>8</v>
      </c>
      <c r="G19" s="3">
        <v>7</v>
      </c>
      <c r="H19" s="3">
        <v>5</v>
      </c>
      <c r="I19" s="3">
        <v>3</v>
      </c>
      <c r="J19" s="3">
        <v>1</v>
      </c>
      <c r="K19" s="3">
        <v>0</v>
      </c>
      <c r="L19" s="3">
        <v>0</v>
      </c>
      <c r="N19" s="2"/>
      <c r="O19" s="2"/>
      <c r="V19" s="25">
        <f>$V$6</f>
        <v>50</v>
      </c>
      <c r="W19" s="26">
        <f>W6</f>
        <v>10</v>
      </c>
      <c r="X19" s="26">
        <f>$X$6</f>
        <v>9</v>
      </c>
      <c r="Y19" s="26"/>
      <c r="Z19" s="26"/>
      <c r="AA19" s="26"/>
      <c r="AB19" s="26"/>
      <c r="AC19" s="26">
        <f>MAX(W19:X19)</f>
        <v>10</v>
      </c>
      <c r="AD19" s="26">
        <v>0</v>
      </c>
    </row>
    <row r="20" spans="3:30" x14ac:dyDescent="0.45">
      <c r="V20" s="25">
        <f>$V$7</f>
        <v>100</v>
      </c>
      <c r="W20" s="26">
        <f>W7</f>
        <v>15</v>
      </c>
      <c r="X20" s="26">
        <f>$X$6+$W$19</f>
        <v>19</v>
      </c>
      <c r="Y20" s="26">
        <f>$X$7</f>
        <v>16</v>
      </c>
      <c r="Z20" s="26"/>
      <c r="AA20" s="26"/>
      <c r="AB20" s="26"/>
      <c r="AC20" s="26">
        <f>MAX(W20:Y20)</f>
        <v>19</v>
      </c>
      <c r="AD20" s="26">
        <v>50</v>
      </c>
    </row>
    <row r="21" spans="3:30" x14ac:dyDescent="0.45">
      <c r="V21" s="25">
        <f>$V$8</f>
        <v>150</v>
      </c>
      <c r="W21" s="26">
        <f t="shared" ref="W21:W23" si="0">W8</f>
        <v>24</v>
      </c>
      <c r="X21" s="26">
        <f>$X$6+$W$20</f>
        <v>24</v>
      </c>
      <c r="Y21" s="26">
        <f>$X$7+$W$19</f>
        <v>26</v>
      </c>
      <c r="Z21" s="26">
        <f>$X$8</f>
        <v>22</v>
      </c>
      <c r="AA21" s="26"/>
      <c r="AB21" s="26"/>
      <c r="AC21" s="26">
        <f>MAX(W21:Z21)</f>
        <v>26</v>
      </c>
      <c r="AD21" s="26">
        <v>100</v>
      </c>
    </row>
    <row r="22" spans="3:30" x14ac:dyDescent="0.45">
      <c r="V22" s="25">
        <f>$V$9</f>
        <v>200</v>
      </c>
      <c r="W22" s="26">
        <f t="shared" si="0"/>
        <v>33</v>
      </c>
      <c r="X22" s="26">
        <f>$X$6+$W$21</f>
        <v>33</v>
      </c>
      <c r="Y22" s="26">
        <f>$X$7+$W$20</f>
        <v>31</v>
      </c>
      <c r="Z22" s="26">
        <f>$X$8+$W$19</f>
        <v>32</v>
      </c>
      <c r="AA22" s="26">
        <f>$X$9</f>
        <v>34</v>
      </c>
      <c r="AB22" s="26"/>
      <c r="AC22" s="26">
        <f>MAX(W22:AA22)</f>
        <v>34</v>
      </c>
      <c r="AD22" s="26">
        <v>200</v>
      </c>
    </row>
    <row r="23" spans="3:30" x14ac:dyDescent="0.45">
      <c r="V23" s="25">
        <f>$V$10</f>
        <v>250</v>
      </c>
      <c r="W23" s="26">
        <f t="shared" si="0"/>
        <v>40</v>
      </c>
      <c r="X23" s="26">
        <f>$X$6+$W$22</f>
        <v>42</v>
      </c>
      <c r="Y23" s="26">
        <f>$X$7+$W$21</f>
        <v>40</v>
      </c>
      <c r="Z23" s="26">
        <f>$X$8+$W$20</f>
        <v>37</v>
      </c>
      <c r="AA23" s="26">
        <f>$X$9+$W$19</f>
        <v>44</v>
      </c>
      <c r="AB23" s="26">
        <f>$X$10</f>
        <v>39</v>
      </c>
      <c r="AC23" s="26">
        <f>MAX(W23:AB23)</f>
        <v>44</v>
      </c>
      <c r="AD23" s="26">
        <v>200</v>
      </c>
    </row>
    <row r="26" spans="3:30" x14ac:dyDescent="0.45">
      <c r="V26" s="25" t="s">
        <v>35</v>
      </c>
      <c r="W26" s="25">
        <v>0</v>
      </c>
      <c r="X26" s="25">
        <v>50</v>
      </c>
      <c r="Y26" s="25">
        <v>100</v>
      </c>
      <c r="Z26" s="25">
        <v>150</v>
      </c>
      <c r="AA26" s="25">
        <v>200</v>
      </c>
      <c r="AB26" s="25">
        <v>250</v>
      </c>
      <c r="AC26" s="25" t="s">
        <v>38</v>
      </c>
      <c r="AD26" s="25" t="s">
        <v>39</v>
      </c>
    </row>
    <row r="27" spans="3:30" x14ac:dyDescent="0.45">
      <c r="V27" s="25">
        <v>0</v>
      </c>
      <c r="W27" s="26">
        <v>0</v>
      </c>
      <c r="X27" s="26"/>
      <c r="Y27" s="26"/>
      <c r="Z27" s="26"/>
      <c r="AA27" s="26"/>
      <c r="AB27" s="26"/>
      <c r="AC27" s="26">
        <v>0</v>
      </c>
      <c r="AD27" s="26">
        <v>0</v>
      </c>
    </row>
    <row r="28" spans="3:30" x14ac:dyDescent="0.45">
      <c r="V28" s="25">
        <f>$V$6</f>
        <v>50</v>
      </c>
      <c r="W28" s="26">
        <f>$AC19</f>
        <v>10</v>
      </c>
      <c r="X28" s="26">
        <f>$Y$6</f>
        <v>7</v>
      </c>
      <c r="Y28" s="26"/>
      <c r="Z28" s="26"/>
      <c r="AA28" s="26"/>
      <c r="AB28" s="26"/>
      <c r="AC28" s="26">
        <f>MAX(W28:X28)</f>
        <v>10</v>
      </c>
      <c r="AD28" s="26">
        <v>0</v>
      </c>
    </row>
    <row r="29" spans="3:30" x14ac:dyDescent="0.45">
      <c r="V29" s="25">
        <f>$V$7</f>
        <v>100</v>
      </c>
      <c r="W29" s="26">
        <f>$AC20</f>
        <v>19</v>
      </c>
      <c r="X29" s="26">
        <f>$Y$6+$AC19</f>
        <v>17</v>
      </c>
      <c r="Y29" s="26">
        <f>$Y$7</f>
        <v>13</v>
      </c>
      <c r="Z29" s="26"/>
      <c r="AA29" s="26"/>
      <c r="AB29" s="26"/>
      <c r="AC29" s="26">
        <f>MAX(W29:Y29)</f>
        <v>19</v>
      </c>
      <c r="AD29" s="26">
        <v>0</v>
      </c>
    </row>
    <row r="30" spans="3:30" x14ac:dyDescent="0.45">
      <c r="V30" s="25">
        <f>$V$8</f>
        <v>150</v>
      </c>
      <c r="W30" s="26">
        <f>$AC21</f>
        <v>26</v>
      </c>
      <c r="X30" s="26">
        <f>$Y$6+$AC20</f>
        <v>26</v>
      </c>
      <c r="Y30" s="26">
        <f>$Y$7+$AC19</f>
        <v>23</v>
      </c>
      <c r="Z30" s="26">
        <f>$Y$8</f>
        <v>20</v>
      </c>
      <c r="AA30" s="26"/>
      <c r="AB30" s="26"/>
      <c r="AC30" s="26">
        <f>MAX(W30:Z30)</f>
        <v>26</v>
      </c>
      <c r="AD30" s="26" t="s">
        <v>40</v>
      </c>
    </row>
    <row r="31" spans="3:30" x14ac:dyDescent="0.45">
      <c r="V31" s="25">
        <f>$V$9</f>
        <v>200</v>
      </c>
      <c r="W31" s="26">
        <f>$AC22</f>
        <v>34</v>
      </c>
      <c r="X31" s="26">
        <f>$Y$6+$AC21</f>
        <v>33</v>
      </c>
      <c r="Y31" s="26">
        <f>$Y$7+$AC20</f>
        <v>32</v>
      </c>
      <c r="Z31" s="26">
        <f>$Y$8+$AC19</f>
        <v>30</v>
      </c>
      <c r="AA31" s="26">
        <f>$Y$9</f>
        <v>31</v>
      </c>
      <c r="AB31" s="26"/>
      <c r="AC31" s="26">
        <f>MAX(W31:AA31)</f>
        <v>34</v>
      </c>
      <c r="AD31" s="26">
        <v>0</v>
      </c>
    </row>
    <row r="32" spans="3:30" x14ac:dyDescent="0.45">
      <c r="V32" s="25">
        <f>$V$10</f>
        <v>250</v>
      </c>
      <c r="W32" s="26">
        <f>$AC23</f>
        <v>44</v>
      </c>
      <c r="X32" s="26">
        <f>$Y$6+$AC22</f>
        <v>41</v>
      </c>
      <c r="Y32" s="26">
        <f>$Y$7+$AC21</f>
        <v>39</v>
      </c>
      <c r="Z32" s="26">
        <f>$Y$8+$AC20</f>
        <v>39</v>
      </c>
      <c r="AA32" s="26">
        <f>$Y$9+$AC19</f>
        <v>41</v>
      </c>
      <c r="AB32" s="26">
        <f>$Y$10</f>
        <v>41</v>
      </c>
      <c r="AC32" s="26">
        <f>MAX(W32:AB32)</f>
        <v>44</v>
      </c>
      <c r="AD32" s="26">
        <v>0</v>
      </c>
    </row>
    <row r="35" spans="22:30" x14ac:dyDescent="0.45">
      <c r="V35" s="25" t="s">
        <v>35</v>
      </c>
      <c r="W35" s="25">
        <v>0</v>
      </c>
      <c r="X35" s="25">
        <v>50</v>
      </c>
      <c r="Y35" s="25">
        <v>100</v>
      </c>
      <c r="Z35" s="25">
        <v>150</v>
      </c>
      <c r="AA35" s="25">
        <v>200</v>
      </c>
      <c r="AB35" s="25">
        <v>250</v>
      </c>
      <c r="AC35" s="25" t="s">
        <v>41</v>
      </c>
      <c r="AD35" s="25" t="s">
        <v>42</v>
      </c>
    </row>
    <row r="36" spans="22:30" x14ac:dyDescent="0.45">
      <c r="V36" s="25">
        <v>0</v>
      </c>
      <c r="W36" s="26">
        <v>0</v>
      </c>
      <c r="X36" s="26"/>
      <c r="Y36" s="26"/>
      <c r="Z36" s="26"/>
      <c r="AA36" s="26"/>
      <c r="AB36" s="26"/>
      <c r="AC36" s="26">
        <v>0</v>
      </c>
      <c r="AD36" s="26">
        <v>0</v>
      </c>
    </row>
    <row r="37" spans="22:30" x14ac:dyDescent="0.45">
      <c r="V37" s="25">
        <f>$V$6</f>
        <v>50</v>
      </c>
      <c r="W37" s="26">
        <f>$AC28</f>
        <v>10</v>
      </c>
      <c r="X37" s="26">
        <f>$Z$6</f>
        <v>8</v>
      </c>
      <c r="Y37" s="26"/>
      <c r="Z37" s="26"/>
      <c r="AA37" s="26"/>
      <c r="AB37" s="26"/>
      <c r="AC37" s="26">
        <f>MAX(W37:X37)</f>
        <v>10</v>
      </c>
      <c r="AD37" s="26">
        <v>0</v>
      </c>
    </row>
    <row r="38" spans="22:30" x14ac:dyDescent="0.45">
      <c r="V38" s="25">
        <f>$V$7</f>
        <v>100</v>
      </c>
      <c r="W38" s="26">
        <f>$AC29</f>
        <v>19</v>
      </c>
      <c r="X38" s="26">
        <f>$Z$6+$AC28</f>
        <v>18</v>
      </c>
      <c r="Y38" s="26">
        <f>$Z$7</f>
        <v>14</v>
      </c>
      <c r="Z38" s="26"/>
      <c r="AA38" s="26"/>
      <c r="AB38" s="26"/>
      <c r="AC38" s="26">
        <f>MAX(W38:Y38)</f>
        <v>19</v>
      </c>
      <c r="AD38" s="26">
        <v>0</v>
      </c>
    </row>
    <row r="39" spans="22:30" x14ac:dyDescent="0.45">
      <c r="V39" s="25">
        <f>$V$8</f>
        <v>150</v>
      </c>
      <c r="W39" s="26">
        <f>$AC30</f>
        <v>26</v>
      </c>
      <c r="X39" s="26">
        <f>$Z$6+$AC29</f>
        <v>27</v>
      </c>
      <c r="Y39" s="26">
        <f>$Z$7+$AC28</f>
        <v>24</v>
      </c>
      <c r="Z39" s="26">
        <f>$Z$8</f>
        <v>21</v>
      </c>
      <c r="AA39" s="26"/>
      <c r="AB39" s="26"/>
      <c r="AC39" s="26">
        <f>MAX(W39:Z39)</f>
        <v>27</v>
      </c>
      <c r="AD39" s="26">
        <v>50</v>
      </c>
    </row>
    <row r="40" spans="22:30" x14ac:dyDescent="0.45">
      <c r="V40" s="25">
        <f>$V$9</f>
        <v>200</v>
      </c>
      <c r="W40" s="26">
        <f>$AC31</f>
        <v>34</v>
      </c>
      <c r="X40" s="26">
        <f>$Z$6+$AC30</f>
        <v>34</v>
      </c>
      <c r="Y40" s="26">
        <f>$Z$7+$AC29</f>
        <v>33</v>
      </c>
      <c r="Z40" s="26">
        <f>$Z$8+$AC28</f>
        <v>31</v>
      </c>
      <c r="AA40" s="26">
        <f>$Z$9</f>
        <v>32</v>
      </c>
      <c r="AB40" s="26"/>
      <c r="AC40" s="26">
        <f>MAX(W40:AA40)</f>
        <v>34</v>
      </c>
      <c r="AD40" s="26" t="s">
        <v>40</v>
      </c>
    </row>
    <row r="41" spans="22:30" x14ac:dyDescent="0.45">
      <c r="V41" s="25">
        <f>$V$10</f>
        <v>250</v>
      </c>
      <c r="W41" s="26">
        <f>$AC32</f>
        <v>44</v>
      </c>
      <c r="X41" s="26">
        <f>$Z$6+$AC31</f>
        <v>42</v>
      </c>
      <c r="Y41" s="26">
        <f>$Z$7+$AC30</f>
        <v>40</v>
      </c>
      <c r="Z41" s="26">
        <f>$Z$8+$AC29</f>
        <v>40</v>
      </c>
      <c r="AA41" s="26">
        <f>$Z$9+$AC28</f>
        <v>42</v>
      </c>
      <c r="AB41" s="26">
        <f>$Z$10</f>
        <v>40</v>
      </c>
      <c r="AC41" s="26">
        <f>MAX(W41:AB41)</f>
        <v>44</v>
      </c>
      <c r="AD41" s="26">
        <v>0</v>
      </c>
    </row>
    <row r="44" spans="22:30" x14ac:dyDescent="0.45">
      <c r="V44" s="24" t="s">
        <v>43</v>
      </c>
      <c r="W44" s="25" t="s">
        <v>32</v>
      </c>
      <c r="X44" s="3" t="s">
        <v>44</v>
      </c>
      <c r="Y44" s="3" t="s">
        <v>45</v>
      </c>
      <c r="Z44" s="3" t="s">
        <v>46</v>
      </c>
      <c r="AA44" s="3" t="s">
        <v>47</v>
      </c>
      <c r="AB44" s="3" t="s">
        <v>48</v>
      </c>
      <c r="AC44" s="3" t="s">
        <v>49</v>
      </c>
    </row>
    <row r="45" spans="22:30" ht="14.65" thickBot="1" x14ac:dyDescent="0.5">
      <c r="V45" s="4">
        <v>0</v>
      </c>
      <c r="W45" s="4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2:30" ht="14.65" thickBot="1" x14ac:dyDescent="0.5">
      <c r="V46" s="31">
        <v>10</v>
      </c>
      <c r="W46" s="32">
        <v>50</v>
      </c>
      <c r="X46" s="28">
        <v>10</v>
      </c>
      <c r="Y46" s="3">
        <v>0</v>
      </c>
      <c r="Z46" s="3">
        <v>10</v>
      </c>
      <c r="AA46" s="3">
        <v>0</v>
      </c>
      <c r="AB46" s="3">
        <v>10</v>
      </c>
      <c r="AC46" s="3">
        <v>0</v>
      </c>
    </row>
    <row r="47" spans="22:30" x14ac:dyDescent="0.45">
      <c r="V47" s="29">
        <v>15</v>
      </c>
      <c r="W47" s="30">
        <v>100</v>
      </c>
      <c r="X47" s="3">
        <v>19</v>
      </c>
      <c r="Y47" s="3">
        <v>50</v>
      </c>
      <c r="Z47" s="3">
        <v>19</v>
      </c>
      <c r="AA47" s="3">
        <v>0</v>
      </c>
      <c r="AB47" s="3">
        <v>19</v>
      </c>
      <c r="AC47" s="3">
        <v>0</v>
      </c>
    </row>
    <row r="48" spans="22:30" x14ac:dyDescent="0.45">
      <c r="V48" s="20">
        <v>24</v>
      </c>
      <c r="W48" s="19">
        <v>150</v>
      </c>
      <c r="X48" s="3">
        <v>26</v>
      </c>
      <c r="Y48" s="3">
        <v>100</v>
      </c>
      <c r="Z48" s="3">
        <v>26</v>
      </c>
      <c r="AA48" s="3" t="s">
        <v>40</v>
      </c>
      <c r="AB48" s="3">
        <v>27</v>
      </c>
      <c r="AC48" s="3">
        <v>50</v>
      </c>
    </row>
    <row r="49" spans="22:29" ht="14.65" thickBot="1" x14ac:dyDescent="0.5">
      <c r="V49" s="20">
        <v>33</v>
      </c>
      <c r="W49" s="19">
        <v>200</v>
      </c>
      <c r="X49" s="4">
        <v>34</v>
      </c>
      <c r="Y49" s="4">
        <v>200</v>
      </c>
      <c r="Z49" s="4">
        <v>34</v>
      </c>
      <c r="AA49" s="4">
        <v>0</v>
      </c>
      <c r="AB49" s="4">
        <v>34</v>
      </c>
      <c r="AC49" s="4" t="s">
        <v>40</v>
      </c>
    </row>
    <row r="50" spans="22:29" ht="14.65" thickBot="1" x14ac:dyDescent="0.5">
      <c r="V50" s="20">
        <v>40</v>
      </c>
      <c r="W50" s="27">
        <v>250</v>
      </c>
      <c r="X50" s="12">
        <v>44</v>
      </c>
      <c r="Y50" s="13">
        <v>200</v>
      </c>
      <c r="Z50" s="12">
        <v>44</v>
      </c>
      <c r="AA50" s="13">
        <v>0</v>
      </c>
      <c r="AB50" s="12">
        <v>44</v>
      </c>
      <c r="AC50" s="13">
        <v>0</v>
      </c>
    </row>
  </sheetData>
  <mergeCells count="29">
    <mergeCell ref="W4:Z4"/>
    <mergeCell ref="R5:R6"/>
    <mergeCell ref="S5:S6"/>
    <mergeCell ref="N18:N19"/>
    <mergeCell ref="O18:O19"/>
    <mergeCell ref="V4:V5"/>
    <mergeCell ref="L5:L6"/>
    <mergeCell ref="M5:M6"/>
    <mergeCell ref="N5:N6"/>
    <mergeCell ref="O5:O6"/>
    <mergeCell ref="P5:P6"/>
    <mergeCell ref="Q5:Q6"/>
    <mergeCell ref="L4:M4"/>
    <mergeCell ref="N4:O4"/>
    <mergeCell ref="P4:Q4"/>
    <mergeCell ref="R4:S4"/>
    <mergeCell ref="D5:D6"/>
    <mergeCell ref="E5:E6"/>
    <mergeCell ref="F5:F6"/>
    <mergeCell ref="G5:G6"/>
    <mergeCell ref="H5:H6"/>
    <mergeCell ref="I5:I6"/>
    <mergeCell ref="C4:C6"/>
    <mergeCell ref="D4:E4"/>
    <mergeCell ref="F4:G4"/>
    <mergeCell ref="H4:I4"/>
    <mergeCell ref="J4:K4"/>
    <mergeCell ref="J5:J6"/>
    <mergeCell ref="K5:K6"/>
  </mergeCells>
  <phoneticPr fontId="4" type="noConversion"/>
  <pageMargins left="0.7" right="0.7" top="0.75" bottom="0.75" header="0.3" footer="0.3"/>
  <pageSetup orientation="portrait" r:id="rId1"/>
  <ignoredErrors>
    <ignoredError sqref="E8 E9:E15 G8:G15 Q8:Q15 O8:O15 M8:M15 K8:K15 I8:I15 H8:H15 J8:J15 L8:L15 N8:N15 P8:P15 R8:R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dcterms:created xsi:type="dcterms:W3CDTF">2015-06-05T18:17:20Z</dcterms:created>
  <dcterms:modified xsi:type="dcterms:W3CDTF">2025-09-09T19:00:52Z</dcterms:modified>
</cp:coreProperties>
</file>