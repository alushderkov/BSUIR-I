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bsuir\mp3_mp4\"/>
    </mc:Choice>
  </mc:AlternateContent>
  <xr:revisionPtr revIDLastSave="0" documentId="13_ncr:1_{9D98901C-6573-448D-919D-3D05151DC3A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Отчет об устойчивости 1" sheetId="2" r:id="rId1"/>
    <sheet name="Sheet1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71" i="1" l="1"/>
  <c r="I72" i="1"/>
  <c r="I73" i="1"/>
  <c r="I70" i="1"/>
  <c r="C71" i="1"/>
  <c r="D71" i="1"/>
  <c r="E71" i="1"/>
  <c r="F71" i="1"/>
  <c r="H71" i="1" s="1"/>
  <c r="C72" i="1"/>
  <c r="D72" i="1"/>
  <c r="E72" i="1"/>
  <c r="F72" i="1"/>
  <c r="C73" i="1"/>
  <c r="D73" i="1"/>
  <c r="E73" i="1"/>
  <c r="F73" i="1"/>
  <c r="D70" i="1"/>
  <c r="E70" i="1"/>
  <c r="F70" i="1"/>
  <c r="C70" i="1"/>
  <c r="I61" i="1"/>
  <c r="I62" i="1"/>
  <c r="I64" i="1"/>
  <c r="I63" i="1"/>
  <c r="G84" i="1"/>
  <c r="G85" i="1"/>
  <c r="G86" i="1"/>
  <c r="G83" i="1"/>
  <c r="G89" i="1"/>
  <c r="G88" i="1"/>
  <c r="O83" i="1"/>
  <c r="L83" i="1"/>
  <c r="L81" i="1"/>
  <c r="O82" i="1" s="1"/>
  <c r="F65" i="1"/>
  <c r="E65" i="1"/>
  <c r="D65" i="1"/>
  <c r="C65" i="1"/>
  <c r="H64" i="1"/>
  <c r="G64" i="1"/>
  <c r="H63" i="1"/>
  <c r="G63" i="1"/>
  <c r="H62" i="1"/>
  <c r="G62" i="1"/>
  <c r="H61" i="1"/>
  <c r="G61" i="1"/>
  <c r="C51" i="1"/>
  <c r="G51" i="1" s="1"/>
  <c r="D51" i="1"/>
  <c r="E51" i="1"/>
  <c r="F51" i="1"/>
  <c r="C52" i="1"/>
  <c r="D52" i="1"/>
  <c r="E52" i="1"/>
  <c r="F52" i="1"/>
  <c r="C53" i="1"/>
  <c r="D53" i="1"/>
  <c r="E53" i="1"/>
  <c r="G53" i="1" s="1"/>
  <c r="F53" i="1"/>
  <c r="D50" i="1"/>
  <c r="E50" i="1"/>
  <c r="F50" i="1"/>
  <c r="C50" i="1"/>
  <c r="G50" i="1" s="1"/>
  <c r="C32" i="1"/>
  <c r="G32" i="1" s="1"/>
  <c r="D32" i="1"/>
  <c r="E32" i="1"/>
  <c r="F32" i="1"/>
  <c r="C33" i="1"/>
  <c r="G33" i="1" s="1"/>
  <c r="D33" i="1"/>
  <c r="E33" i="1"/>
  <c r="F33" i="1"/>
  <c r="C34" i="1"/>
  <c r="G34" i="1" s="1"/>
  <c r="D34" i="1"/>
  <c r="E34" i="1"/>
  <c r="F34" i="1"/>
  <c r="D31" i="1"/>
  <c r="E31" i="1"/>
  <c r="F31" i="1"/>
  <c r="C31" i="1"/>
  <c r="G31" i="1" s="1"/>
  <c r="G23" i="1"/>
  <c r="G24" i="1"/>
  <c r="G25" i="1"/>
  <c r="G22" i="1"/>
  <c r="F54" i="1"/>
  <c r="E54" i="1"/>
  <c r="D54" i="1"/>
  <c r="C54" i="1"/>
  <c r="G52" i="1" s="1"/>
  <c r="F45" i="1"/>
  <c r="E45" i="1"/>
  <c r="D45" i="1"/>
  <c r="C45" i="1"/>
  <c r="G42" i="1" s="1"/>
  <c r="F15" i="1"/>
  <c r="E15" i="1"/>
  <c r="E14" i="1"/>
  <c r="D14" i="1"/>
  <c r="D15" i="1"/>
  <c r="D13" i="1"/>
  <c r="F14" i="1"/>
  <c r="G14" i="1"/>
  <c r="G13" i="1"/>
  <c r="F13" i="1"/>
  <c r="E12" i="1"/>
  <c r="F12" i="1"/>
  <c r="G12" i="1"/>
  <c r="G70" i="1" l="1"/>
  <c r="L84" i="1"/>
  <c r="F74" i="1"/>
  <c r="O84" i="1"/>
  <c r="D74" i="1"/>
  <c r="G41" i="1"/>
  <c r="G44" i="1"/>
  <c r="G43" i="1"/>
  <c r="G73" i="1"/>
  <c r="L85" i="1"/>
  <c r="O85" i="1"/>
  <c r="O81" i="1"/>
  <c r="L82" i="1"/>
  <c r="H72" i="1" l="1"/>
  <c r="G72" i="1"/>
  <c r="C74" i="1"/>
  <c r="E74" i="1"/>
  <c r="H73" i="1" s="1"/>
  <c r="H70" i="1"/>
  <c r="G71" i="1"/>
</calcChain>
</file>

<file path=xl/sharedStrings.xml><?xml version="1.0" encoding="utf-8"?>
<sst xmlns="http://schemas.openxmlformats.org/spreadsheetml/2006/main" count="182" uniqueCount="105">
  <si>
    <t>1-ый игрок - предприятие</t>
  </si>
  <si>
    <t>Стратегии</t>
  </si>
  <si>
    <t>А1 - создать запас сырья 13 ед</t>
  </si>
  <si>
    <t>А2 - создать запас сырья 15 ед</t>
  </si>
  <si>
    <t>А3 - создать запас сырья 17 ед</t>
  </si>
  <si>
    <t>А4 - создать запас сырья 19 ед</t>
  </si>
  <si>
    <t>2-ой игрок - природа</t>
  </si>
  <si>
    <t>P1 - для производства достаточно 13 ед сырья</t>
  </si>
  <si>
    <t>P2 - для производства достаточно 15 ед сырья</t>
  </si>
  <si>
    <t>P3 - для производства достаточно 17 ед сырья</t>
  </si>
  <si>
    <t>P4 - для производства достаточно 19 ед сырья</t>
  </si>
  <si>
    <t>А1</t>
  </si>
  <si>
    <t>А2</t>
  </si>
  <si>
    <t>А3</t>
  </si>
  <si>
    <t>А4</t>
  </si>
  <si>
    <t>P1</t>
  </si>
  <si>
    <t>P2</t>
  </si>
  <si>
    <t>P3</t>
  </si>
  <si>
    <t>P4</t>
  </si>
  <si>
    <t>Платежная матрица</t>
  </si>
  <si>
    <t>а</t>
  </si>
  <si>
    <t>qj</t>
  </si>
  <si>
    <t>Матрица рисков</t>
  </si>
  <si>
    <t>r</t>
  </si>
  <si>
    <t>а) Вероятности известны</t>
  </si>
  <si>
    <t>б) Потребление сырья в количествах b1, b2, b3 , b4 ед. представляется равновероятным</t>
  </si>
  <si>
    <t>min aij</t>
  </si>
  <si>
    <t>max aij</t>
  </si>
  <si>
    <t>По Гурвицу</t>
  </si>
  <si>
    <t>Критерий Вальда - выбираем стратегию А3 (минимальный гарантированный выигрыш равен -28)</t>
  </si>
  <si>
    <t>Критерий Сэвиджа - выбираем стратегию А2 (максимальный риск равен 36)</t>
  </si>
  <si>
    <t>bj</t>
  </si>
  <si>
    <t>Критерий Гурвица - стратегия А3 для платежной матрицы, А2 для матрицы рисков (возможный выигрыш равен 19.6, возможный риск равен 25.2)</t>
  </si>
  <si>
    <t>min rij</t>
  </si>
  <si>
    <t>max rij</t>
  </si>
  <si>
    <t>Преобразованная платежная матрица</t>
  </si>
  <si>
    <t>q = (0.5625, 0, 0, 0.4375)</t>
  </si>
  <si>
    <t>p = (0.4375, 0, 0, 0.5625)</t>
  </si>
  <si>
    <t>f(y) = y1 + y2 + y3 + y4 -&gt; max</t>
  </si>
  <si>
    <t>z(x) = x1 + x2 + x3 + x4 -&gt; min</t>
  </si>
  <si>
    <t>54*y1 + 36*y2 + 18*y3 + 0*y4 &lt;= 1</t>
  </si>
  <si>
    <t>54*x1 + 40*x2 + 26*x3 + 12*x4 &gt;= 1</t>
  </si>
  <si>
    <t>40*y1 + 54*y2 + 36*y3 + 18*y4 &lt;= 1</t>
  </si>
  <si>
    <t>36*x1 + 54*x2 + 40*x3 + 26*x4 &gt;= 1</t>
  </si>
  <si>
    <t>26*y1 + 40*y2 + 54*y3 + 36*y4 &lt;= 1</t>
  </si>
  <si>
    <t>18*x1 + 36*x2 + 54*x3 + 40*x4 &gt;= 1</t>
  </si>
  <si>
    <t>12*y1 + 26*y2 + 40*y3 + 54*y4 &lt;= 1</t>
  </si>
  <si>
    <t>0*x1 + 18*x2 + 36*x3 + 54*x4 &gt;= 1</t>
  </si>
  <si>
    <t>Математическая модель для игрока P</t>
  </si>
  <si>
    <t>Математическая модель для игрока А</t>
  </si>
  <si>
    <t>q1</t>
  </si>
  <si>
    <t xml:space="preserve">q2 </t>
  </si>
  <si>
    <t>q3</t>
  </si>
  <si>
    <t>q4</t>
  </si>
  <si>
    <t xml:space="preserve">v' </t>
  </si>
  <si>
    <t xml:space="preserve">v </t>
  </si>
  <si>
    <t>p1</t>
  </si>
  <si>
    <t>p2</t>
  </si>
  <si>
    <t>p3</t>
  </si>
  <si>
    <t>p4</t>
  </si>
  <si>
    <t>y* = (0.0185, 0, 0, 0.0144)</t>
  </si>
  <si>
    <t>x* = (0.0144, 0, 0, 0.0185)</t>
  </si>
  <si>
    <t>Х</t>
  </si>
  <si>
    <t>Y</t>
  </si>
  <si>
    <t>Microsoft Excel 16.0 Отчет об устойчивости</t>
  </si>
  <si>
    <t>Ячейки переменных</t>
  </si>
  <si>
    <t>Окончательное</t>
  </si>
  <si>
    <t>Приведенн.</t>
  </si>
  <si>
    <t>Целевая функция</t>
  </si>
  <si>
    <t>Допустимое</t>
  </si>
  <si>
    <t>Ячейка</t>
  </si>
  <si>
    <t>Имя</t>
  </si>
  <si>
    <t>Значение</t>
  </si>
  <si>
    <t>Стоимость</t>
  </si>
  <si>
    <t>Коэффициент</t>
  </si>
  <si>
    <t>Увеличение</t>
  </si>
  <si>
    <t>Уменьшение</t>
  </si>
  <si>
    <t>Ограничения</t>
  </si>
  <si>
    <t>Тень</t>
  </si>
  <si>
    <t>Ограничение</t>
  </si>
  <si>
    <t>Цена</t>
  </si>
  <si>
    <t>Правая сторона</t>
  </si>
  <si>
    <t>А1 min rij</t>
  </si>
  <si>
    <t>А2 min rij</t>
  </si>
  <si>
    <t>А3 min rij</t>
  </si>
  <si>
    <t>А4 min rij</t>
  </si>
  <si>
    <t>Лист: [lr5_Ushakov_351001_v24.xlsx]Sheet1</t>
  </si>
  <si>
    <t>Y P1</t>
  </si>
  <si>
    <t>Y P2</t>
  </si>
  <si>
    <t>Y P3</t>
  </si>
  <si>
    <t>Y P4</t>
  </si>
  <si>
    <t>$С$88</t>
  </si>
  <si>
    <t>$D$88</t>
  </si>
  <si>
    <t>$E$88</t>
  </si>
  <si>
    <t>$F$88</t>
  </si>
  <si>
    <t>Отчет создан: 05.10.2025 22:25:13</t>
  </si>
  <si>
    <t>$G$83</t>
  </si>
  <si>
    <t>$G$84</t>
  </si>
  <si>
    <t>$G$85</t>
  </si>
  <si>
    <t>$G$86</t>
  </si>
  <si>
    <t>4) Решить в смешанных стратегиях (сведением к задаче линейного программирования)</t>
  </si>
  <si>
    <t>Критерий Гурвица</t>
  </si>
  <si>
    <t>в) О вероятностях потребления сырья ничего определенного сказать нельзя</t>
  </si>
  <si>
    <t>a = -28 (max min aij)</t>
  </si>
  <si>
    <t>b = 0 (min max aij)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</si>
</sst>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scheme val="minor"/>
    </font>
    <font>
      <sz val="12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1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4" borderId="4" xfId="2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4" borderId="2" xfId="1" applyFill="1" applyBorder="1" applyAlignment="1">
      <alignment horizontal="center" vertical="center"/>
    </xf>
    <xf numFmtId="0" fontId="1" fillId="4" borderId="10" xfId="1" applyFill="1" applyBorder="1" applyAlignment="1">
      <alignment horizontal="center" vertical="center"/>
    </xf>
    <xf numFmtId="0" fontId="1" fillId="4" borderId="12" xfId="1" applyFill="1" applyBorder="1" applyAlignment="1">
      <alignment horizontal="center" vertical="center"/>
    </xf>
    <xf numFmtId="0" fontId="1" fillId="4" borderId="27" xfId="1" applyFill="1" applyBorder="1" applyAlignment="1">
      <alignment horizontal="center" vertical="center"/>
    </xf>
    <xf numFmtId="0" fontId="1" fillId="4" borderId="28" xfId="1" applyFill="1" applyBorder="1" applyAlignment="1">
      <alignment horizontal="center" vertical="center"/>
    </xf>
    <xf numFmtId="0" fontId="1" fillId="4" borderId="29" xfId="1" applyFill="1" applyBorder="1" applyAlignment="1">
      <alignment horizontal="center" vertical="center"/>
    </xf>
    <xf numFmtId="0" fontId="1" fillId="4" borderId="30" xfId="1" applyFill="1" applyBorder="1" applyAlignment="1">
      <alignment horizontal="center" vertical="center"/>
    </xf>
    <xf numFmtId="0" fontId="1" fillId="4" borderId="31" xfId="1" applyFill="1" applyBorder="1" applyAlignment="1">
      <alignment horizontal="center" vertical="center"/>
    </xf>
    <xf numFmtId="0" fontId="1" fillId="4" borderId="32" xfId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4" borderId="3" xfId="1" applyFill="1" applyBorder="1" applyAlignment="1">
      <alignment horizontal="center" vertical="center"/>
    </xf>
    <xf numFmtId="0" fontId="1" fillId="4" borderId="34" xfId="1" applyFill="1" applyBorder="1" applyAlignment="1">
      <alignment horizontal="center" vertical="center"/>
    </xf>
    <xf numFmtId="0" fontId="1" fillId="4" borderId="9" xfId="1" applyFill="1" applyBorder="1" applyAlignment="1">
      <alignment horizontal="center" vertical="center"/>
    </xf>
    <xf numFmtId="0" fontId="3" fillId="0" borderId="0" xfId="0" applyFont="1"/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0" fontId="0" fillId="0" borderId="37" xfId="0" applyBorder="1"/>
    <xf numFmtId="0" fontId="0" fillId="0" borderId="38" xfId="0" applyBorder="1"/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5" borderId="11" xfId="0" applyFill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" fillId="8" borderId="11" xfId="2" applyFill="1" applyBorder="1" applyAlignment="1">
      <alignment horizontal="center" vertical="center"/>
    </xf>
    <xf numFmtId="0" fontId="1" fillId="6" borderId="5" xfId="2" applyFill="1" applyBorder="1" applyAlignment="1">
      <alignment horizontal="center" vertical="center"/>
    </xf>
    <xf numFmtId="0" fontId="1" fillId="5" borderId="11" xfId="2" applyFill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2" fillId="7" borderId="5" xfId="2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" fillId="4" borderId="4" xfId="2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</cellXfs>
  <cellStyles count="3">
    <cellStyle name="20% — акцент2" xfId="1" builtinId="34"/>
    <cellStyle name="40% — акцент2" xfId="2" builtinId="35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516799</xdr:colOff>
      <xdr:row>80</xdr:row>
      <xdr:rowOff>19438</xdr:rowOff>
    </xdr:from>
    <xdr:to>
      <xdr:col>9</xdr:col>
      <xdr:colOff>188252</xdr:colOff>
      <xdr:row>88</xdr:row>
      <xdr:rowOff>40137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C22E86CB-F71D-458A-8DEB-7B497268A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71360" y="14628910"/>
          <a:ext cx="1120326" cy="1482988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suir\mp3_mp4\X_lab3.xlsx" TargetMode="External"/><Relationship Id="rId1" Type="http://schemas.openxmlformats.org/officeDocument/2006/relationships/externalLinkPath" Target="X_lab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Отчет о результатах 1"/>
      <sheetName val="Отчет об устойчивости 1"/>
      <sheetName val="Отчет о пределах 1"/>
      <sheetName val="Лист1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296A-1EBC-47B6-A1CB-4E0D420EED49}">
  <dimension ref="A1:H20"/>
  <sheetViews>
    <sheetView showGridLines="0" tabSelected="1" zoomScale="84" workbookViewId="0">
      <selection activeCell="B21" sqref="B21"/>
    </sheetView>
  </sheetViews>
  <sheetFormatPr defaultRowHeight="14.25" x14ac:dyDescent="0.45"/>
  <cols>
    <col min="1" max="1" width="2.33203125" customWidth="1"/>
    <col min="2" max="2" width="7.19921875" bestFit="1" customWidth="1"/>
    <col min="3" max="3" width="8.53125" bestFit="1" customWidth="1"/>
    <col min="4" max="4" width="14.6640625" bestFit="1" customWidth="1"/>
    <col min="5" max="5" width="12" bestFit="1" customWidth="1"/>
    <col min="6" max="6" width="16.53125" bestFit="1" customWidth="1"/>
    <col min="7" max="7" width="12" bestFit="1" customWidth="1"/>
    <col min="8" max="8" width="12.46484375" bestFit="1" customWidth="1"/>
  </cols>
  <sheetData>
    <row r="1" spans="1:8" x14ac:dyDescent="0.45">
      <c r="A1" s="72" t="s">
        <v>64</v>
      </c>
    </row>
    <row r="2" spans="1:8" x14ac:dyDescent="0.45">
      <c r="A2" s="72" t="s">
        <v>86</v>
      </c>
    </row>
    <row r="3" spans="1:8" x14ac:dyDescent="0.45">
      <c r="A3" s="72" t="s">
        <v>95</v>
      </c>
    </row>
    <row r="6" spans="1:8" ht="14.65" thickBot="1" x14ac:dyDescent="0.5">
      <c r="A6" t="s">
        <v>65</v>
      </c>
    </row>
    <row r="7" spans="1:8" x14ac:dyDescent="0.45">
      <c r="B7" s="73"/>
      <c r="C7" s="73"/>
      <c r="D7" s="73" t="s">
        <v>66</v>
      </c>
      <c r="E7" s="73" t="s">
        <v>67</v>
      </c>
      <c r="F7" s="73" t="s">
        <v>68</v>
      </c>
      <c r="G7" s="73" t="s">
        <v>69</v>
      </c>
      <c r="H7" s="73" t="s">
        <v>69</v>
      </c>
    </row>
    <row r="8" spans="1:8" ht="14.65" thickBot="1" x14ac:dyDescent="0.5">
      <c r="B8" s="74" t="s">
        <v>70</v>
      </c>
      <c r="C8" s="74" t="s">
        <v>71</v>
      </c>
      <c r="D8" s="74" t="s">
        <v>72</v>
      </c>
      <c r="E8" s="74" t="s">
        <v>73</v>
      </c>
      <c r="F8" s="74" t="s">
        <v>74</v>
      </c>
      <c r="G8" s="74" t="s">
        <v>75</v>
      </c>
      <c r="H8" s="74" t="s">
        <v>76</v>
      </c>
    </row>
    <row r="9" spans="1:8" x14ac:dyDescent="0.45">
      <c r="B9" s="75" t="s">
        <v>91</v>
      </c>
      <c r="C9" s="75" t="s">
        <v>87</v>
      </c>
      <c r="D9" s="75">
        <v>1.8518518518518517E-2</v>
      </c>
      <c r="E9" s="75">
        <v>0</v>
      </c>
      <c r="F9" s="75">
        <v>1</v>
      </c>
      <c r="G9" s="75">
        <v>1E+30</v>
      </c>
      <c r="H9" s="75">
        <v>0</v>
      </c>
    </row>
    <row r="10" spans="1:8" x14ac:dyDescent="0.45">
      <c r="B10" s="75" t="s">
        <v>92</v>
      </c>
      <c r="C10" s="75" t="s">
        <v>88</v>
      </c>
      <c r="D10" s="75">
        <v>0</v>
      </c>
      <c r="E10" s="75">
        <v>0</v>
      </c>
      <c r="F10" s="75">
        <v>1</v>
      </c>
      <c r="G10" s="75">
        <v>0</v>
      </c>
      <c r="H10" s="75">
        <v>1E+30</v>
      </c>
    </row>
    <row r="11" spans="1:8" x14ac:dyDescent="0.45">
      <c r="B11" s="75" t="s">
        <v>93</v>
      </c>
      <c r="C11" s="75" t="s">
        <v>89</v>
      </c>
      <c r="D11" s="75">
        <v>0</v>
      </c>
      <c r="E11" s="75">
        <v>0</v>
      </c>
      <c r="F11" s="75">
        <v>1</v>
      </c>
      <c r="G11" s="75">
        <v>0</v>
      </c>
      <c r="H11" s="75">
        <v>1E+30</v>
      </c>
    </row>
    <row r="12" spans="1:8" ht="14.65" thickBot="1" x14ac:dyDescent="0.5">
      <c r="B12" s="76" t="s">
        <v>94</v>
      </c>
      <c r="C12" s="76" t="s">
        <v>90</v>
      </c>
      <c r="D12" s="76">
        <v>1.4403292181069957E-2</v>
      </c>
      <c r="E12" s="76">
        <v>0</v>
      </c>
      <c r="F12" s="76">
        <v>1</v>
      </c>
      <c r="G12" s="76">
        <v>3.5000000000000004</v>
      </c>
      <c r="H12" s="76">
        <v>0</v>
      </c>
    </row>
    <row r="14" spans="1:8" ht="14.65" thickBot="1" x14ac:dyDescent="0.5">
      <c r="A14" t="s">
        <v>77</v>
      </c>
    </row>
    <row r="15" spans="1:8" x14ac:dyDescent="0.45">
      <c r="B15" s="73"/>
      <c r="C15" s="73"/>
      <c r="D15" s="73" t="s">
        <v>66</v>
      </c>
      <c r="E15" s="73" t="s">
        <v>78</v>
      </c>
      <c r="F15" s="73" t="s">
        <v>79</v>
      </c>
      <c r="G15" s="73" t="s">
        <v>69</v>
      </c>
      <c r="H15" s="73" t="s">
        <v>69</v>
      </c>
    </row>
    <row r="16" spans="1:8" ht="14.65" thickBot="1" x14ac:dyDescent="0.5">
      <c r="B16" s="74" t="s">
        <v>70</v>
      </c>
      <c r="C16" s="74" t="s">
        <v>71</v>
      </c>
      <c r="D16" s="74" t="s">
        <v>72</v>
      </c>
      <c r="E16" s="74" t="s">
        <v>80</v>
      </c>
      <c r="F16" s="74" t="s">
        <v>81</v>
      </c>
      <c r="G16" s="74" t="s">
        <v>75</v>
      </c>
      <c r="H16" s="74" t="s">
        <v>76</v>
      </c>
    </row>
    <row r="17" spans="2:8" x14ac:dyDescent="0.45">
      <c r="B17" s="75" t="s">
        <v>96</v>
      </c>
      <c r="C17" s="75" t="s">
        <v>82</v>
      </c>
      <c r="D17" s="75">
        <v>1</v>
      </c>
      <c r="E17" s="75">
        <v>1.4403292181069959E-2</v>
      </c>
      <c r="F17" s="75">
        <v>1</v>
      </c>
      <c r="G17" s="75">
        <v>8.3266726846886741E-17</v>
      </c>
      <c r="H17" s="75">
        <v>1</v>
      </c>
    </row>
    <row r="18" spans="2:8" x14ac:dyDescent="0.45">
      <c r="B18" s="75" t="s">
        <v>97</v>
      </c>
      <c r="C18" s="75" t="s">
        <v>83</v>
      </c>
      <c r="D18" s="75">
        <v>1</v>
      </c>
      <c r="E18" s="75">
        <v>0</v>
      </c>
      <c r="F18" s="75">
        <v>1</v>
      </c>
      <c r="G18" s="75">
        <v>1E+30</v>
      </c>
      <c r="H18" s="75">
        <v>5.5511151231257827E-17</v>
      </c>
    </row>
    <row r="19" spans="2:8" x14ac:dyDescent="0.45">
      <c r="B19" s="75" t="s">
        <v>98</v>
      </c>
      <c r="C19" s="75" t="s">
        <v>84</v>
      </c>
      <c r="D19" s="75">
        <v>1</v>
      </c>
      <c r="E19" s="75">
        <v>0</v>
      </c>
      <c r="F19" s="75">
        <v>1</v>
      </c>
      <c r="G19" s="75">
        <v>1E+30</v>
      </c>
      <c r="H19" s="75">
        <v>1.1102230246251565E-16</v>
      </c>
    </row>
    <row r="20" spans="2:8" ht="14.65" thickBot="1" x14ac:dyDescent="0.5">
      <c r="B20" s="76" t="s">
        <v>99</v>
      </c>
      <c r="C20" s="76" t="s">
        <v>85</v>
      </c>
      <c r="D20" s="76">
        <v>0.99999999999999989</v>
      </c>
      <c r="E20" s="76">
        <v>1.8518518518518517E-2</v>
      </c>
      <c r="F20" s="76">
        <v>1</v>
      </c>
      <c r="G20" s="76">
        <v>1.6653345369377348E-16</v>
      </c>
      <c r="H20" s="76">
        <v>0.77777777777777779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S111"/>
  <sheetViews>
    <sheetView topLeftCell="A35" zoomScale="85" workbookViewId="0">
      <selection activeCell="K48" sqref="K48"/>
    </sheetView>
  </sheetViews>
  <sheetFormatPr defaultRowHeight="14.25" x14ac:dyDescent="0.45"/>
  <cols>
    <col min="9" max="9" width="11.19921875" customWidth="1"/>
  </cols>
  <sheetData>
    <row r="2" spans="2:14" ht="14.65" thickBot="1" x14ac:dyDescent="0.5"/>
    <row r="3" spans="2:14" x14ac:dyDescent="0.45">
      <c r="B3" s="1" t="s">
        <v>0</v>
      </c>
      <c r="C3" s="2"/>
      <c r="D3" s="2"/>
      <c r="E3" s="2"/>
      <c r="F3" s="9"/>
      <c r="I3" s="12" t="s">
        <v>6</v>
      </c>
      <c r="J3" s="13"/>
      <c r="K3" s="13"/>
      <c r="L3" s="13"/>
      <c r="M3" s="13"/>
      <c r="N3" s="14"/>
    </row>
    <row r="4" spans="2:14" x14ac:dyDescent="0.45">
      <c r="B4" s="4" t="s">
        <v>1</v>
      </c>
      <c r="C4" s="5" t="s">
        <v>2</v>
      </c>
      <c r="D4" s="5"/>
      <c r="E4" s="5"/>
      <c r="F4" s="10"/>
      <c r="I4" s="4" t="s">
        <v>1</v>
      </c>
      <c r="J4" s="5" t="s">
        <v>7</v>
      </c>
      <c r="K4" s="5"/>
      <c r="L4" s="5"/>
      <c r="M4" s="5"/>
      <c r="N4" s="10"/>
    </row>
    <row r="5" spans="2:14" x14ac:dyDescent="0.45">
      <c r="B5" s="4"/>
      <c r="C5" s="5" t="s">
        <v>3</v>
      </c>
      <c r="D5" s="5"/>
      <c r="E5" s="5"/>
      <c r="F5" s="10"/>
      <c r="I5" s="4"/>
      <c r="J5" s="5" t="s">
        <v>8</v>
      </c>
      <c r="K5" s="5"/>
      <c r="L5" s="5"/>
      <c r="M5" s="5"/>
      <c r="N5" s="10"/>
    </row>
    <row r="6" spans="2:14" x14ac:dyDescent="0.45">
      <c r="B6" s="4"/>
      <c r="C6" s="5" t="s">
        <v>4</v>
      </c>
      <c r="D6" s="5"/>
      <c r="E6" s="5"/>
      <c r="F6" s="10"/>
      <c r="I6" s="4"/>
      <c r="J6" s="5" t="s">
        <v>9</v>
      </c>
      <c r="K6" s="5"/>
      <c r="L6" s="5"/>
      <c r="M6" s="5"/>
      <c r="N6" s="10"/>
    </row>
    <row r="7" spans="2:14" ht="14.65" thickBot="1" x14ac:dyDescent="0.5">
      <c r="B7" s="6"/>
      <c r="C7" s="7" t="s">
        <v>5</v>
      </c>
      <c r="D7" s="7"/>
      <c r="E7" s="7"/>
      <c r="F7" s="11"/>
      <c r="I7" s="6"/>
      <c r="J7" s="7" t="s">
        <v>10</v>
      </c>
      <c r="K7" s="7"/>
      <c r="L7" s="7"/>
      <c r="M7" s="7"/>
      <c r="N7" s="11"/>
    </row>
    <row r="9" spans="2:14" ht="14.65" thickBot="1" x14ac:dyDescent="0.5"/>
    <row r="10" spans="2:14" x14ac:dyDescent="0.45">
      <c r="B10" s="1"/>
      <c r="C10" s="9"/>
      <c r="D10" s="33" t="s">
        <v>15</v>
      </c>
      <c r="E10" s="23" t="s">
        <v>16</v>
      </c>
      <c r="F10" s="23" t="s">
        <v>17</v>
      </c>
      <c r="G10" s="24" t="s">
        <v>18</v>
      </c>
    </row>
    <row r="11" spans="2:14" ht="14.65" thickBot="1" x14ac:dyDescent="0.5">
      <c r="B11" s="6"/>
      <c r="C11" s="35"/>
      <c r="D11" s="19">
        <v>13</v>
      </c>
      <c r="E11" s="17">
        <v>15</v>
      </c>
      <c r="F11" s="17">
        <v>17</v>
      </c>
      <c r="G11" s="25">
        <v>19</v>
      </c>
    </row>
    <row r="12" spans="2:14" x14ac:dyDescent="0.45">
      <c r="B12" s="34" t="s">
        <v>11</v>
      </c>
      <c r="C12" s="21">
        <v>13</v>
      </c>
      <c r="D12" s="16">
        <v>0</v>
      </c>
      <c r="E12" s="16">
        <f xml:space="preserve"> -1*(E$11-$C12) *9</f>
        <v>-18</v>
      </c>
      <c r="F12" s="16">
        <f t="shared" ref="F12:G12" si="0" xml:space="preserve"> -1*(F11-$C12) *9</f>
        <v>-36</v>
      </c>
      <c r="G12" s="27">
        <f t="shared" si="0"/>
        <v>-54</v>
      </c>
    </row>
    <row r="13" spans="2:14" x14ac:dyDescent="0.45">
      <c r="B13" s="26" t="s">
        <v>12</v>
      </c>
      <c r="C13" s="18">
        <v>15</v>
      </c>
      <c r="D13" s="16">
        <f xml:space="preserve"> -1*($C13-D$11) *7</f>
        <v>-14</v>
      </c>
      <c r="E13" s="16">
        <v>0</v>
      </c>
      <c r="F13" s="16">
        <f xml:space="preserve"> -1*(F$11-$C13) *9</f>
        <v>-18</v>
      </c>
      <c r="G13" s="27">
        <f xml:space="preserve"> -1*(G$11-$C13) *9</f>
        <v>-36</v>
      </c>
    </row>
    <row r="14" spans="2:14" x14ac:dyDescent="0.45">
      <c r="B14" s="26" t="s">
        <v>13</v>
      </c>
      <c r="C14" s="18">
        <v>17</v>
      </c>
      <c r="D14" s="16">
        <f t="shared" ref="D14:F15" si="1" xml:space="preserve"> -1*($C14-D$11) *7</f>
        <v>-28</v>
      </c>
      <c r="E14" s="16">
        <f t="shared" si="1"/>
        <v>-14</v>
      </c>
      <c r="F14" s="16">
        <f xml:space="preserve"> -1*(F$11-$C14) *9</f>
        <v>0</v>
      </c>
      <c r="G14" s="27">
        <f xml:space="preserve"> -1*(G$11-$C14) *9</f>
        <v>-18</v>
      </c>
    </row>
    <row r="15" spans="2:14" ht="14.65" thickBot="1" x14ac:dyDescent="0.5">
      <c r="B15" s="28" t="s">
        <v>14</v>
      </c>
      <c r="C15" s="29">
        <v>19</v>
      </c>
      <c r="D15" s="30">
        <f t="shared" si="1"/>
        <v>-42</v>
      </c>
      <c r="E15" s="30">
        <f t="shared" si="1"/>
        <v>-28</v>
      </c>
      <c r="F15" s="30">
        <f t="shared" si="1"/>
        <v>-14</v>
      </c>
      <c r="G15" s="31">
        <v>0</v>
      </c>
    </row>
    <row r="17" spans="2:7" ht="14.65" thickBot="1" x14ac:dyDescent="0.5"/>
    <row r="18" spans="2:7" ht="14.65" thickBot="1" x14ac:dyDescent="0.5">
      <c r="B18" s="38" t="s">
        <v>24</v>
      </c>
      <c r="C18" s="39"/>
      <c r="D18" s="39"/>
      <c r="E18" s="39"/>
      <c r="F18" s="39"/>
      <c r="G18" s="40"/>
    </row>
    <row r="19" spans="2:7" ht="14.65" thickBot="1" x14ac:dyDescent="0.5"/>
    <row r="20" spans="2:7" x14ac:dyDescent="0.45">
      <c r="B20" s="45" t="s">
        <v>19</v>
      </c>
      <c r="C20" s="46"/>
      <c r="D20" s="46"/>
      <c r="E20" s="46"/>
      <c r="F20" s="46"/>
      <c r="G20" s="47"/>
    </row>
    <row r="21" spans="2:7" x14ac:dyDescent="0.45">
      <c r="B21" s="26"/>
      <c r="C21" s="16" t="s">
        <v>15</v>
      </c>
      <c r="D21" s="16" t="s">
        <v>16</v>
      </c>
      <c r="E21" s="16" t="s">
        <v>17</v>
      </c>
      <c r="F21" s="16" t="s">
        <v>18</v>
      </c>
      <c r="G21" s="27" t="s">
        <v>20</v>
      </c>
    </row>
    <row r="22" spans="2:7" x14ac:dyDescent="0.45">
      <c r="B22" s="26" t="s">
        <v>11</v>
      </c>
      <c r="C22" s="16">
        <v>0</v>
      </c>
      <c r="D22" s="16">
        <v>-18</v>
      </c>
      <c r="E22" s="16">
        <v>-36</v>
      </c>
      <c r="F22" s="16">
        <v>-54</v>
      </c>
      <c r="G22" s="27">
        <f>SUMPRODUCT(C22:F22,$C$26:$F$26)</f>
        <v>-29.7</v>
      </c>
    </row>
    <row r="23" spans="2:7" x14ac:dyDescent="0.45">
      <c r="B23" s="26" t="s">
        <v>12</v>
      </c>
      <c r="C23" s="16">
        <v>-14</v>
      </c>
      <c r="D23" s="16">
        <v>0</v>
      </c>
      <c r="E23" s="16">
        <v>-18</v>
      </c>
      <c r="F23" s="16">
        <v>-36</v>
      </c>
      <c r="G23" s="27">
        <f t="shared" ref="G23:G25" si="2">SUMPRODUCT(C23:F23,$C$26:$F$26)</f>
        <v>-14.9</v>
      </c>
    </row>
    <row r="24" spans="2:7" x14ac:dyDescent="0.45">
      <c r="B24" s="36" t="s">
        <v>13</v>
      </c>
      <c r="C24" s="16">
        <v>-28</v>
      </c>
      <c r="D24" s="16">
        <v>-14</v>
      </c>
      <c r="E24" s="16">
        <v>0</v>
      </c>
      <c r="F24" s="16">
        <v>-18</v>
      </c>
      <c r="G24" s="37">
        <f t="shared" si="2"/>
        <v>-11.299999999999999</v>
      </c>
    </row>
    <row r="25" spans="2:7" x14ac:dyDescent="0.45">
      <c r="B25" s="26" t="s">
        <v>14</v>
      </c>
      <c r="C25" s="16">
        <v>-42</v>
      </c>
      <c r="D25" s="16">
        <v>-28</v>
      </c>
      <c r="E25" s="16">
        <v>-14</v>
      </c>
      <c r="F25" s="16">
        <v>0</v>
      </c>
      <c r="G25" s="27">
        <f t="shared" si="2"/>
        <v>-18.899999999999999</v>
      </c>
    </row>
    <row r="26" spans="2:7" ht="14.65" thickBot="1" x14ac:dyDescent="0.5">
      <c r="B26" s="28" t="s">
        <v>21</v>
      </c>
      <c r="C26" s="30">
        <v>0.1</v>
      </c>
      <c r="D26" s="30">
        <v>0.35</v>
      </c>
      <c r="E26" s="30">
        <v>0.35</v>
      </c>
      <c r="F26" s="30">
        <v>0.2</v>
      </c>
      <c r="G26" s="31"/>
    </row>
    <row r="28" spans="2:7" ht="14.65" thickBot="1" x14ac:dyDescent="0.5"/>
    <row r="29" spans="2:7" x14ac:dyDescent="0.45">
      <c r="B29" s="41" t="s">
        <v>22</v>
      </c>
      <c r="C29" s="42"/>
      <c r="D29" s="42"/>
      <c r="E29" s="42"/>
      <c r="F29" s="42"/>
      <c r="G29" s="43"/>
    </row>
    <row r="30" spans="2:7" x14ac:dyDescent="0.45">
      <c r="B30" s="26"/>
      <c r="C30" s="16" t="s">
        <v>15</v>
      </c>
      <c r="D30" s="16" t="s">
        <v>16</v>
      </c>
      <c r="E30" s="16" t="s">
        <v>17</v>
      </c>
      <c r="F30" s="16" t="s">
        <v>18</v>
      </c>
      <c r="G30" s="27" t="s">
        <v>23</v>
      </c>
    </row>
    <row r="31" spans="2:7" x14ac:dyDescent="0.45">
      <c r="B31" s="26" t="s">
        <v>11</v>
      </c>
      <c r="C31" s="16">
        <f xml:space="preserve"> MAX(C$22:C$25) - C22</f>
        <v>0</v>
      </c>
      <c r="D31" s="16">
        <f t="shared" ref="D31:F31" si="3" xml:space="preserve"> MAX(D$22:D$25) - D22</f>
        <v>18</v>
      </c>
      <c r="E31" s="16">
        <f t="shared" si="3"/>
        <v>36</v>
      </c>
      <c r="F31" s="16">
        <f t="shared" si="3"/>
        <v>54</v>
      </c>
      <c r="G31" s="27">
        <f xml:space="preserve"> SUMPRODUCT(C31:F31,$C$35:$F$35)</f>
        <v>29.7</v>
      </c>
    </row>
    <row r="32" spans="2:7" x14ac:dyDescent="0.45">
      <c r="B32" s="26" t="s">
        <v>12</v>
      </c>
      <c r="C32" s="16">
        <f t="shared" ref="C32:F32" si="4" xml:space="preserve"> MAX(C$22:C$25) - C23</f>
        <v>14</v>
      </c>
      <c r="D32" s="16">
        <f t="shared" si="4"/>
        <v>0</v>
      </c>
      <c r="E32" s="16">
        <f t="shared" si="4"/>
        <v>18</v>
      </c>
      <c r="F32" s="16">
        <f t="shared" si="4"/>
        <v>36</v>
      </c>
      <c r="G32" s="27">
        <f t="shared" ref="G32:G34" si="5" xml:space="preserve"> SUMPRODUCT(C32:F32,$C$35:$F$35)</f>
        <v>14.9</v>
      </c>
    </row>
    <row r="33" spans="2:10" x14ac:dyDescent="0.45">
      <c r="B33" s="36" t="s">
        <v>13</v>
      </c>
      <c r="C33" s="16">
        <f t="shared" ref="C33:F33" si="6" xml:space="preserve"> MAX(C$22:C$25) - C24</f>
        <v>28</v>
      </c>
      <c r="D33" s="16">
        <f t="shared" si="6"/>
        <v>14</v>
      </c>
      <c r="E33" s="16">
        <f t="shared" si="6"/>
        <v>0</v>
      </c>
      <c r="F33" s="16">
        <f t="shared" si="6"/>
        <v>18</v>
      </c>
      <c r="G33" s="37">
        <f t="shared" si="5"/>
        <v>11.299999999999999</v>
      </c>
    </row>
    <row r="34" spans="2:10" x14ac:dyDescent="0.45">
      <c r="B34" s="26" t="s">
        <v>14</v>
      </c>
      <c r="C34" s="16">
        <f t="shared" ref="C34:F34" si="7" xml:space="preserve"> MAX(C$22:C$25) - C25</f>
        <v>42</v>
      </c>
      <c r="D34" s="16">
        <f t="shared" si="7"/>
        <v>28</v>
      </c>
      <c r="E34" s="16">
        <f t="shared" si="7"/>
        <v>14</v>
      </c>
      <c r="F34" s="16">
        <f t="shared" si="7"/>
        <v>0</v>
      </c>
      <c r="G34" s="27">
        <f t="shared" si="5"/>
        <v>18.899999999999999</v>
      </c>
    </row>
    <row r="35" spans="2:10" ht="14.65" thickBot="1" x14ac:dyDescent="0.5">
      <c r="B35" s="28" t="s">
        <v>21</v>
      </c>
      <c r="C35" s="30">
        <v>0.1</v>
      </c>
      <c r="D35" s="30">
        <v>0.35</v>
      </c>
      <c r="E35" s="30">
        <v>0.35</v>
      </c>
      <c r="F35" s="30">
        <v>0.2</v>
      </c>
      <c r="G35" s="31"/>
    </row>
    <row r="36" spans="2:10" ht="14.65" thickBot="1" x14ac:dyDescent="0.5"/>
    <row r="37" spans="2:10" ht="14.65" thickBot="1" x14ac:dyDescent="0.5">
      <c r="B37" s="38" t="s">
        <v>25</v>
      </c>
      <c r="C37" s="39"/>
      <c r="D37" s="39"/>
      <c r="E37" s="39"/>
      <c r="F37" s="39"/>
      <c r="G37" s="39"/>
      <c r="H37" s="39"/>
      <c r="I37" s="39"/>
      <c r="J37" s="40"/>
    </row>
    <row r="38" spans="2:10" ht="14.65" thickBot="1" x14ac:dyDescent="0.5"/>
    <row r="39" spans="2:10" x14ac:dyDescent="0.45">
      <c r="B39" s="1" t="s">
        <v>19</v>
      </c>
      <c r="C39" s="2"/>
      <c r="D39" s="2"/>
      <c r="E39" s="2"/>
      <c r="F39" s="2"/>
      <c r="G39" s="9"/>
    </row>
    <row r="40" spans="2:10" x14ac:dyDescent="0.45">
      <c r="B40" s="26"/>
      <c r="C40" s="16" t="s">
        <v>15</v>
      </c>
      <c r="D40" s="16" t="s">
        <v>16</v>
      </c>
      <c r="E40" s="16" t="s">
        <v>17</v>
      </c>
      <c r="F40" s="16" t="s">
        <v>18</v>
      </c>
      <c r="G40" s="27" t="s">
        <v>20</v>
      </c>
    </row>
    <row r="41" spans="2:10" x14ac:dyDescent="0.45">
      <c r="B41" s="26" t="s">
        <v>11</v>
      </c>
      <c r="C41" s="16">
        <v>0</v>
      </c>
      <c r="D41" s="16">
        <v>-18</v>
      </c>
      <c r="E41" s="16">
        <v>-36</v>
      </c>
      <c r="F41" s="16">
        <v>-54</v>
      </c>
      <c r="G41" s="27">
        <f>SUMPRODUCT(C41:F41,$C$45:$F$45)</f>
        <v>-27</v>
      </c>
    </row>
    <row r="42" spans="2:10" x14ac:dyDescent="0.45">
      <c r="B42" s="26" t="s">
        <v>12</v>
      </c>
      <c r="C42" s="16">
        <v>-14</v>
      </c>
      <c r="D42" s="16">
        <v>0</v>
      </c>
      <c r="E42" s="16">
        <v>-18</v>
      </c>
      <c r="F42" s="16">
        <v>-36</v>
      </c>
      <c r="G42" s="27">
        <f t="shared" ref="G42:G44" si="8">SUMPRODUCT(C42:F42,$C$45:$F$45)</f>
        <v>-17</v>
      </c>
    </row>
    <row r="43" spans="2:10" x14ac:dyDescent="0.45">
      <c r="B43" s="36" t="s">
        <v>13</v>
      </c>
      <c r="C43" s="16">
        <v>-28</v>
      </c>
      <c r="D43" s="16">
        <v>-14</v>
      </c>
      <c r="E43" s="16">
        <v>0</v>
      </c>
      <c r="F43" s="16">
        <v>-18</v>
      </c>
      <c r="G43" s="37">
        <f t="shared" si="8"/>
        <v>-15</v>
      </c>
    </row>
    <row r="44" spans="2:10" x14ac:dyDescent="0.45">
      <c r="B44" s="26" t="s">
        <v>14</v>
      </c>
      <c r="C44" s="16">
        <v>-42</v>
      </c>
      <c r="D44" s="16">
        <v>-28</v>
      </c>
      <c r="E44" s="16">
        <v>-14</v>
      </c>
      <c r="F44" s="16">
        <v>0</v>
      </c>
      <c r="G44" s="27">
        <f t="shared" si="8"/>
        <v>-21</v>
      </c>
    </row>
    <row r="45" spans="2:10" ht="14.65" thickBot="1" x14ac:dyDescent="0.5">
      <c r="B45" s="28" t="s">
        <v>21</v>
      </c>
      <c r="C45" s="30">
        <f>1/4</f>
        <v>0.25</v>
      </c>
      <c r="D45" s="30">
        <f t="shared" ref="D45:F45" si="9">1/4</f>
        <v>0.25</v>
      </c>
      <c r="E45" s="30">
        <f t="shared" si="9"/>
        <v>0.25</v>
      </c>
      <c r="F45" s="30">
        <f t="shared" si="9"/>
        <v>0.25</v>
      </c>
      <c r="G45" s="31"/>
    </row>
    <row r="47" spans="2:10" ht="14.65" thickBot="1" x14ac:dyDescent="0.5"/>
    <row r="48" spans="2:10" x14ac:dyDescent="0.45">
      <c r="B48" s="1" t="s">
        <v>22</v>
      </c>
      <c r="C48" s="2"/>
      <c r="D48" s="2"/>
      <c r="E48" s="2"/>
      <c r="F48" s="2"/>
      <c r="G48" s="9"/>
    </row>
    <row r="49" spans="2:19" x14ac:dyDescent="0.45">
      <c r="B49" s="26"/>
      <c r="C49" s="16" t="s">
        <v>15</v>
      </c>
      <c r="D49" s="16" t="s">
        <v>16</v>
      </c>
      <c r="E49" s="16" t="s">
        <v>17</v>
      </c>
      <c r="F49" s="16" t="s">
        <v>18</v>
      </c>
      <c r="G49" s="27" t="s">
        <v>23</v>
      </c>
    </row>
    <row r="50" spans="2:19" x14ac:dyDescent="0.45">
      <c r="B50" s="26" t="s">
        <v>11</v>
      </c>
      <c r="C50" s="16">
        <f xml:space="preserve"> MAX(C$41:C$44) - C41</f>
        <v>0</v>
      </c>
      <c r="D50" s="16">
        <f t="shared" ref="D50:F50" si="10" xml:space="preserve"> MAX(D$41:D$44) - D41</f>
        <v>18</v>
      </c>
      <c r="E50" s="16">
        <f t="shared" si="10"/>
        <v>36</v>
      </c>
      <c r="F50" s="16">
        <f t="shared" si="10"/>
        <v>54</v>
      </c>
      <c r="G50" s="27">
        <f xml:space="preserve"> SUMPRODUCT(C50:F50,$C$54:$F$54)</f>
        <v>27</v>
      </c>
    </row>
    <row r="51" spans="2:19" x14ac:dyDescent="0.45">
      <c r="B51" s="26" t="s">
        <v>12</v>
      </c>
      <c r="C51" s="16">
        <f t="shared" ref="C51:F51" si="11" xml:space="preserve"> MAX(C$41:C$44) - C42</f>
        <v>14</v>
      </c>
      <c r="D51" s="16">
        <f t="shared" si="11"/>
        <v>0</v>
      </c>
      <c r="E51" s="16">
        <f t="shared" si="11"/>
        <v>18</v>
      </c>
      <c r="F51" s="16">
        <f t="shared" si="11"/>
        <v>36</v>
      </c>
      <c r="G51" s="27">
        <f t="shared" ref="G51:G53" si="12" xml:space="preserve"> SUMPRODUCT(C51:F51,$C$54:$F$54)</f>
        <v>17</v>
      </c>
    </row>
    <row r="52" spans="2:19" x14ac:dyDescent="0.45">
      <c r="B52" s="36" t="s">
        <v>13</v>
      </c>
      <c r="C52" s="16">
        <f t="shared" ref="C52:F52" si="13" xml:space="preserve"> MAX(C$41:C$44) - C43</f>
        <v>28</v>
      </c>
      <c r="D52" s="16">
        <f t="shared" si="13"/>
        <v>14</v>
      </c>
      <c r="E52" s="16">
        <f t="shared" si="13"/>
        <v>0</v>
      </c>
      <c r="F52" s="16">
        <f t="shared" si="13"/>
        <v>18</v>
      </c>
      <c r="G52" s="37">
        <f t="shared" si="12"/>
        <v>15</v>
      </c>
    </row>
    <row r="53" spans="2:19" x14ac:dyDescent="0.45">
      <c r="B53" s="26" t="s">
        <v>14</v>
      </c>
      <c r="C53" s="16">
        <f t="shared" ref="C53:F53" si="14" xml:space="preserve"> MAX(C$41:C$44) - C44</f>
        <v>42</v>
      </c>
      <c r="D53" s="16">
        <f t="shared" si="14"/>
        <v>28</v>
      </c>
      <c r="E53" s="16">
        <f t="shared" si="14"/>
        <v>14</v>
      </c>
      <c r="F53" s="16">
        <f t="shared" si="14"/>
        <v>0</v>
      </c>
      <c r="G53" s="27">
        <f t="shared" si="12"/>
        <v>21</v>
      </c>
    </row>
    <row r="54" spans="2:19" ht="14.65" thickBot="1" x14ac:dyDescent="0.5">
      <c r="B54" s="28" t="s">
        <v>21</v>
      </c>
      <c r="C54" s="30">
        <f>1/4</f>
        <v>0.25</v>
      </c>
      <c r="D54" s="30">
        <f t="shared" ref="D54:F54" si="15">1/4</f>
        <v>0.25</v>
      </c>
      <c r="E54" s="30">
        <f t="shared" si="15"/>
        <v>0.25</v>
      </c>
      <c r="F54" s="30">
        <f t="shared" si="15"/>
        <v>0.25</v>
      </c>
      <c r="G54" s="31"/>
    </row>
    <row r="56" spans="2:19" ht="14.65" thickBot="1" x14ac:dyDescent="0.5"/>
    <row r="57" spans="2:19" ht="14.65" thickBot="1" x14ac:dyDescent="0.5">
      <c r="B57" s="95" t="s">
        <v>102</v>
      </c>
      <c r="C57" s="77"/>
      <c r="D57" s="77"/>
      <c r="E57" s="77"/>
      <c r="F57" s="77"/>
      <c r="G57" s="77"/>
      <c r="H57" s="77"/>
      <c r="I57" s="78"/>
    </row>
    <row r="58" spans="2:19" ht="14.65" thickBot="1" x14ac:dyDescent="0.5">
      <c r="L58" s="80">
        <v>0.7</v>
      </c>
      <c r="M58" s="88" t="s">
        <v>101</v>
      </c>
      <c r="N58" s="39"/>
      <c r="O58" s="39"/>
      <c r="P58" s="39"/>
      <c r="Q58" s="39"/>
      <c r="R58" s="39"/>
      <c r="S58" s="40"/>
    </row>
    <row r="59" spans="2:19" ht="14.65" thickBot="1" x14ac:dyDescent="0.5">
      <c r="B59" s="1" t="s">
        <v>19</v>
      </c>
      <c r="C59" s="2"/>
      <c r="D59" s="2"/>
      <c r="E59" s="2"/>
      <c r="F59" s="2"/>
      <c r="G59" s="2"/>
      <c r="H59" s="2"/>
      <c r="I59" s="9"/>
      <c r="L59" s="20"/>
      <c r="M59" s="20"/>
      <c r="N59" s="20"/>
      <c r="O59" s="20"/>
      <c r="P59" s="20"/>
      <c r="Q59" s="20"/>
      <c r="R59" s="20"/>
    </row>
    <row r="60" spans="2:19" x14ac:dyDescent="0.45">
      <c r="B60" s="26"/>
      <c r="C60" s="16" t="s">
        <v>15</v>
      </c>
      <c r="D60" s="16" t="s">
        <v>16</v>
      </c>
      <c r="E60" s="16" t="s">
        <v>17</v>
      </c>
      <c r="F60" s="16" t="s">
        <v>18</v>
      </c>
      <c r="G60" s="16" t="s">
        <v>26</v>
      </c>
      <c r="H60" s="16" t="s">
        <v>27</v>
      </c>
      <c r="I60" s="27" t="s">
        <v>28</v>
      </c>
      <c r="L60" s="81" t="s">
        <v>29</v>
      </c>
      <c r="M60" s="82"/>
      <c r="N60" s="82"/>
      <c r="O60" s="82"/>
      <c r="P60" s="82"/>
      <c r="Q60" s="82"/>
      <c r="R60" s="82"/>
      <c r="S60" s="89"/>
    </row>
    <row r="61" spans="2:19" x14ac:dyDescent="0.45">
      <c r="B61" s="26" t="s">
        <v>11</v>
      </c>
      <c r="C61" s="16">
        <v>0</v>
      </c>
      <c r="D61" s="16">
        <v>-18</v>
      </c>
      <c r="E61" s="16">
        <v>-36</v>
      </c>
      <c r="F61" s="16">
        <v>-54</v>
      </c>
      <c r="G61" s="16">
        <f xml:space="preserve"> MIN(C61:F61)</f>
        <v>-54</v>
      </c>
      <c r="H61" s="16">
        <f xml:space="preserve"> MAX(C61:F61)</f>
        <v>0</v>
      </c>
      <c r="I61" s="92">
        <f t="shared" ref="I61:I62" si="16">$L$58*G61 + (1 - $L$58)*H61</f>
        <v>-37.799999999999997</v>
      </c>
      <c r="L61" s="83"/>
      <c r="M61" s="79"/>
      <c r="N61" s="79"/>
      <c r="O61" s="79"/>
      <c r="P61" s="79"/>
      <c r="Q61" s="79"/>
      <c r="R61" s="79"/>
      <c r="S61" s="90"/>
    </row>
    <row r="62" spans="2:19" x14ac:dyDescent="0.45">
      <c r="B62" s="26" t="s">
        <v>12</v>
      </c>
      <c r="C62" s="16">
        <v>-14</v>
      </c>
      <c r="D62" s="16">
        <v>0</v>
      </c>
      <c r="E62" s="16">
        <v>-18</v>
      </c>
      <c r="F62" s="16">
        <v>-36</v>
      </c>
      <c r="G62" s="16">
        <f t="shared" ref="G62:G64" si="17" xml:space="preserve"> MIN(C62:F62)</f>
        <v>-36</v>
      </c>
      <c r="H62" s="16">
        <f t="shared" ref="H62:H64" si="18" xml:space="preserve"> MAX(C62:F62)</f>
        <v>0</v>
      </c>
      <c r="I62" s="92">
        <f t="shared" si="16"/>
        <v>-25.2</v>
      </c>
      <c r="L62" s="84"/>
      <c r="M62" s="60"/>
      <c r="N62" s="60"/>
      <c r="O62" s="60"/>
      <c r="P62" s="60"/>
      <c r="Q62" s="60"/>
      <c r="R62" s="60"/>
      <c r="S62" s="68"/>
    </row>
    <row r="63" spans="2:19" ht="14.25" customHeight="1" x14ac:dyDescent="0.45">
      <c r="B63" s="36" t="s">
        <v>13</v>
      </c>
      <c r="C63" s="16">
        <v>-28</v>
      </c>
      <c r="D63" s="16">
        <v>-14</v>
      </c>
      <c r="E63" s="16">
        <v>0</v>
      </c>
      <c r="F63" s="16">
        <v>-18</v>
      </c>
      <c r="G63" s="93">
        <f t="shared" si="17"/>
        <v>-28</v>
      </c>
      <c r="H63" s="16">
        <f t="shared" si="18"/>
        <v>0</v>
      </c>
      <c r="I63" s="94">
        <f>$L$58*G63 + (1 - $L$58)*H63</f>
        <v>-19.599999999999998</v>
      </c>
      <c r="L63" s="83" t="s">
        <v>30</v>
      </c>
      <c r="M63" s="79"/>
      <c r="N63" s="79"/>
      <c r="O63" s="79"/>
      <c r="P63" s="79"/>
      <c r="Q63" s="79"/>
      <c r="R63" s="79"/>
      <c r="S63" s="91"/>
    </row>
    <row r="64" spans="2:19" x14ac:dyDescent="0.45">
      <c r="B64" s="26" t="s">
        <v>14</v>
      </c>
      <c r="C64" s="16">
        <v>-42</v>
      </c>
      <c r="D64" s="16">
        <v>-28</v>
      </c>
      <c r="E64" s="16">
        <v>-14</v>
      </c>
      <c r="F64" s="16">
        <v>0</v>
      </c>
      <c r="G64" s="16">
        <f t="shared" si="17"/>
        <v>-42</v>
      </c>
      <c r="H64" s="16">
        <f t="shared" si="18"/>
        <v>0</v>
      </c>
      <c r="I64" s="92">
        <f>$L$58*G64 + (1 - $L$58)*H64</f>
        <v>-29.4</v>
      </c>
      <c r="L64" s="83"/>
      <c r="M64" s="79"/>
      <c r="N64" s="79"/>
      <c r="O64" s="79"/>
      <c r="P64" s="79"/>
      <c r="Q64" s="79"/>
      <c r="R64" s="79"/>
      <c r="S64" s="91"/>
    </row>
    <row r="65" spans="2:19" ht="14.65" thickBot="1" x14ac:dyDescent="0.5">
      <c r="B65" s="28" t="s">
        <v>31</v>
      </c>
      <c r="C65" s="30">
        <f xml:space="preserve"> MAX(C61:C64)</f>
        <v>0</v>
      </c>
      <c r="D65" s="30">
        <f t="shared" ref="D65:F65" si="19" xml:space="preserve"> MAX(D61:D64)</f>
        <v>0</v>
      </c>
      <c r="E65" s="30">
        <f t="shared" si="19"/>
        <v>0</v>
      </c>
      <c r="F65" s="30">
        <f t="shared" si="19"/>
        <v>0</v>
      </c>
      <c r="G65" s="96"/>
      <c r="H65" s="97"/>
      <c r="I65" s="98"/>
      <c r="L65" s="4"/>
      <c r="M65" s="22"/>
      <c r="N65" s="22"/>
      <c r="O65" s="22"/>
      <c r="P65" s="22"/>
      <c r="Q65" s="22"/>
      <c r="R65" s="22"/>
      <c r="S65" s="48"/>
    </row>
    <row r="66" spans="2:19" ht="14.25" customHeight="1" x14ac:dyDescent="0.45">
      <c r="L66" s="83" t="s">
        <v>32</v>
      </c>
      <c r="M66" s="79"/>
      <c r="N66" s="79"/>
      <c r="O66" s="79"/>
      <c r="P66" s="79"/>
      <c r="Q66" s="79"/>
      <c r="R66" s="79"/>
      <c r="S66" s="87"/>
    </row>
    <row r="67" spans="2:19" ht="14.65" thickBot="1" x14ac:dyDescent="0.5">
      <c r="L67" s="83"/>
      <c r="M67" s="79"/>
      <c r="N67" s="79"/>
      <c r="O67" s="79"/>
      <c r="P67" s="79"/>
      <c r="Q67" s="79"/>
      <c r="R67" s="79"/>
      <c r="S67" s="87"/>
    </row>
    <row r="68" spans="2:19" ht="14.65" thickBot="1" x14ac:dyDescent="0.5">
      <c r="B68" s="1" t="s">
        <v>22</v>
      </c>
      <c r="C68" s="2"/>
      <c r="D68" s="2"/>
      <c r="E68" s="2"/>
      <c r="F68" s="2"/>
      <c r="G68" s="2"/>
      <c r="H68" s="2"/>
      <c r="I68" s="9"/>
      <c r="L68" s="85"/>
      <c r="M68" s="86"/>
      <c r="N68" s="86"/>
      <c r="O68" s="86"/>
      <c r="P68" s="86"/>
      <c r="Q68" s="86"/>
      <c r="R68" s="86"/>
      <c r="S68" s="103"/>
    </row>
    <row r="69" spans="2:19" x14ac:dyDescent="0.45">
      <c r="B69" s="62"/>
      <c r="C69" s="32" t="s">
        <v>15</v>
      </c>
      <c r="D69" s="32" t="s">
        <v>16</v>
      </c>
      <c r="E69" s="32" t="s">
        <v>17</v>
      </c>
      <c r="F69" s="32" t="s">
        <v>18</v>
      </c>
      <c r="G69" s="32" t="s">
        <v>33</v>
      </c>
      <c r="H69" s="32" t="s">
        <v>34</v>
      </c>
      <c r="I69" s="63" t="s">
        <v>28</v>
      </c>
    </row>
    <row r="70" spans="2:19" x14ac:dyDescent="0.45">
      <c r="B70" s="62" t="s">
        <v>11</v>
      </c>
      <c r="C70" s="32">
        <f xml:space="preserve"> MAX(C$61:C$64) - C61</f>
        <v>0</v>
      </c>
      <c r="D70" s="32">
        <f t="shared" ref="D70:F70" si="20" xml:space="preserve"> MAX(D$61:D$64) - D61</f>
        <v>18</v>
      </c>
      <c r="E70" s="32">
        <f t="shared" si="20"/>
        <v>36</v>
      </c>
      <c r="F70" s="32">
        <f t="shared" si="20"/>
        <v>54</v>
      </c>
      <c r="G70" s="32">
        <f>MIN(C70:F70)</f>
        <v>0</v>
      </c>
      <c r="H70" s="32">
        <f>MAX(C70:F71)</f>
        <v>54</v>
      </c>
      <c r="I70" s="63">
        <f>$L$58*H70 + (1 -$L$58)*G70</f>
        <v>37.799999999999997</v>
      </c>
    </row>
    <row r="71" spans="2:19" x14ac:dyDescent="0.45">
      <c r="B71" s="104" t="s">
        <v>12</v>
      </c>
      <c r="C71" s="32">
        <f t="shared" ref="C71:F71" si="21" xml:space="preserve"> MAX(C$61:C$64) - C62</f>
        <v>14</v>
      </c>
      <c r="D71" s="32">
        <f t="shared" si="21"/>
        <v>0</v>
      </c>
      <c r="E71" s="32">
        <f t="shared" si="21"/>
        <v>18</v>
      </c>
      <c r="F71" s="32">
        <f t="shared" si="21"/>
        <v>36</v>
      </c>
      <c r="G71" s="32">
        <f t="shared" ref="G71:G73" si="22">MIN(C71:F71)</f>
        <v>0</v>
      </c>
      <c r="H71" s="99">
        <f>MAX(C71:F72)</f>
        <v>36</v>
      </c>
      <c r="I71" s="102">
        <f t="shared" ref="I71:I73" si="23">$L$58*H71 + (1 -$L$58)*G71</f>
        <v>25.2</v>
      </c>
    </row>
    <row r="72" spans="2:19" x14ac:dyDescent="0.45">
      <c r="B72" s="62" t="s">
        <v>13</v>
      </c>
      <c r="C72" s="32">
        <f t="shared" ref="C72:F72" si="24" xml:space="preserve"> MAX(C$61:C$64) - C63</f>
        <v>28</v>
      </c>
      <c r="D72" s="32">
        <f t="shared" si="24"/>
        <v>14</v>
      </c>
      <c r="E72" s="32">
        <f t="shared" si="24"/>
        <v>0</v>
      </c>
      <c r="F72" s="32">
        <f t="shared" si="24"/>
        <v>18</v>
      </c>
      <c r="G72" s="32">
        <f t="shared" si="22"/>
        <v>0</v>
      </c>
      <c r="H72" s="32">
        <f t="shared" ref="H71:H73" si="25">MAX(C72:F73)</f>
        <v>42</v>
      </c>
      <c r="I72" s="63">
        <f t="shared" si="23"/>
        <v>29.4</v>
      </c>
    </row>
    <row r="73" spans="2:19" x14ac:dyDescent="0.45">
      <c r="B73" s="62" t="s">
        <v>14</v>
      </c>
      <c r="C73" s="32">
        <f t="shared" ref="C73:F73" si="26" xml:space="preserve"> MAX(C$61:C$64) - C64</f>
        <v>42</v>
      </c>
      <c r="D73" s="32">
        <f t="shared" si="26"/>
        <v>28</v>
      </c>
      <c r="E73" s="32">
        <f t="shared" si="26"/>
        <v>14</v>
      </c>
      <c r="F73" s="32">
        <f t="shared" si="26"/>
        <v>0</v>
      </c>
      <c r="G73" s="32">
        <f t="shared" si="22"/>
        <v>0</v>
      </c>
      <c r="H73" s="32">
        <f t="shared" si="25"/>
        <v>54</v>
      </c>
      <c r="I73" s="63">
        <f t="shared" si="23"/>
        <v>37.799999999999997</v>
      </c>
    </row>
    <row r="74" spans="2:19" ht="14.65" thickBot="1" x14ac:dyDescent="0.5">
      <c r="B74" s="64" t="s">
        <v>31</v>
      </c>
      <c r="C74" s="65">
        <f xml:space="preserve"> MAX(C70:C73)</f>
        <v>42</v>
      </c>
      <c r="D74" s="65">
        <f t="shared" ref="D74:F74" si="27" xml:space="preserve"> MAX(D70:D73)</f>
        <v>28</v>
      </c>
      <c r="E74" s="65">
        <f t="shared" si="27"/>
        <v>36</v>
      </c>
      <c r="F74" s="65">
        <f t="shared" si="27"/>
        <v>54</v>
      </c>
      <c r="G74" s="8"/>
      <c r="H74" s="100"/>
      <c r="I74" s="101"/>
    </row>
    <row r="75" spans="2:19" ht="14.65" thickBot="1" x14ac:dyDescent="0.5"/>
    <row r="76" spans="2:19" ht="15.75" x14ac:dyDescent="0.45">
      <c r="B76" s="105" t="s">
        <v>103</v>
      </c>
      <c r="C76" s="106"/>
      <c r="D76" s="107"/>
    </row>
    <row r="77" spans="2:19" ht="16.149999999999999" thickBot="1" x14ac:dyDescent="0.55000000000000004">
      <c r="B77" s="108" t="s">
        <v>104</v>
      </c>
      <c r="C77" s="109"/>
      <c r="D77" s="110"/>
    </row>
    <row r="78" spans="2:19" ht="14.65" thickBot="1" x14ac:dyDescent="0.5"/>
    <row r="79" spans="2:19" ht="14.65" thickBot="1" x14ac:dyDescent="0.5">
      <c r="B79" s="38" t="s">
        <v>100</v>
      </c>
      <c r="C79" s="39"/>
      <c r="D79" s="39"/>
      <c r="E79" s="39"/>
      <c r="F79" s="39"/>
      <c r="G79" s="39"/>
      <c r="H79" s="39"/>
      <c r="I79" s="39"/>
      <c r="J79" s="39"/>
      <c r="K79" s="40"/>
    </row>
    <row r="80" spans="2:19" ht="14.65" thickBot="1" x14ac:dyDescent="0.5"/>
    <row r="81" spans="2:16" x14ac:dyDescent="0.45">
      <c r="B81" s="45" t="s">
        <v>35</v>
      </c>
      <c r="C81" s="46"/>
      <c r="D81" s="46"/>
      <c r="E81" s="46"/>
      <c r="F81" s="46"/>
      <c r="G81" s="47"/>
      <c r="I81" s="15"/>
      <c r="J81" s="15"/>
      <c r="K81" s="44" t="s">
        <v>54</v>
      </c>
      <c r="L81" s="3">
        <f>1/G88</f>
        <v>30.374999999999979</v>
      </c>
      <c r="M81" s="67"/>
      <c r="N81" s="50" t="s">
        <v>55</v>
      </c>
      <c r="O81" s="69">
        <f>L81-54</f>
        <v>-23.625000000000021</v>
      </c>
      <c r="P81" s="55"/>
    </row>
    <row r="82" spans="2:16" x14ac:dyDescent="0.45">
      <c r="B82" s="62"/>
      <c r="C82" s="32" t="s">
        <v>15</v>
      </c>
      <c r="D82" s="32" t="s">
        <v>16</v>
      </c>
      <c r="E82" s="32" t="s">
        <v>17</v>
      </c>
      <c r="F82" s="32" t="s">
        <v>18</v>
      </c>
      <c r="G82" s="63"/>
      <c r="K82" s="26" t="s">
        <v>50</v>
      </c>
      <c r="L82" s="59">
        <f>L81*C88</f>
        <v>0.562499999999999</v>
      </c>
      <c r="M82" s="61"/>
      <c r="N82" s="16" t="s">
        <v>56</v>
      </c>
      <c r="O82" s="59">
        <f>L81*C89</f>
        <v>0.43750000000000094</v>
      </c>
      <c r="P82" s="68"/>
    </row>
    <row r="83" spans="2:16" x14ac:dyDescent="0.45">
      <c r="B83" s="62" t="s">
        <v>11</v>
      </c>
      <c r="C83" s="32">
        <v>54</v>
      </c>
      <c r="D83" s="32">
        <v>36</v>
      </c>
      <c r="E83" s="32">
        <v>18</v>
      </c>
      <c r="F83" s="32">
        <v>0</v>
      </c>
      <c r="G83" s="63">
        <f>SUMPRODUCT(C83:F83,$C$88:$F$88)</f>
        <v>0.999999999999999</v>
      </c>
      <c r="K83" s="26" t="s">
        <v>51</v>
      </c>
      <c r="L83" s="59">
        <f>L81*D88</f>
        <v>0</v>
      </c>
      <c r="M83" s="61"/>
      <c r="N83" s="16" t="s">
        <v>57</v>
      </c>
      <c r="O83" s="59">
        <f>L81*D89</f>
        <v>0</v>
      </c>
      <c r="P83" s="68"/>
    </row>
    <row r="84" spans="2:16" x14ac:dyDescent="0.45">
      <c r="B84" s="62" t="s">
        <v>12</v>
      </c>
      <c r="C84" s="32">
        <v>40</v>
      </c>
      <c r="D84" s="32">
        <v>54</v>
      </c>
      <c r="E84" s="32">
        <v>36</v>
      </c>
      <c r="F84" s="32">
        <v>18</v>
      </c>
      <c r="G84" s="63">
        <f t="shared" ref="G84:G86" si="28">SUMPRODUCT(C84:F84,$C$88:$F$88)</f>
        <v>1</v>
      </c>
      <c r="K84" s="26" t="s">
        <v>52</v>
      </c>
      <c r="L84" s="59">
        <f>L81*E88</f>
        <v>0</v>
      </c>
      <c r="M84" s="61"/>
      <c r="N84" s="16" t="s">
        <v>58</v>
      </c>
      <c r="O84" s="59">
        <f>L81*E89</f>
        <v>0</v>
      </c>
      <c r="P84" s="68"/>
    </row>
    <row r="85" spans="2:16" x14ac:dyDescent="0.45">
      <c r="B85" s="62" t="s">
        <v>13</v>
      </c>
      <c r="C85" s="32">
        <v>26</v>
      </c>
      <c r="D85" s="32">
        <v>40</v>
      </c>
      <c r="E85" s="32">
        <v>54</v>
      </c>
      <c r="F85" s="32">
        <v>36</v>
      </c>
      <c r="G85" s="63">
        <f t="shared" si="28"/>
        <v>1.0000000000000011</v>
      </c>
      <c r="K85" s="26" t="s">
        <v>53</v>
      </c>
      <c r="L85" s="59">
        <f>L81*F88</f>
        <v>0.43750000000000094</v>
      </c>
      <c r="M85" s="61"/>
      <c r="N85" s="16" t="s">
        <v>59</v>
      </c>
      <c r="O85" s="59">
        <f>L81*F89</f>
        <v>0.562499999999999</v>
      </c>
      <c r="P85" s="68"/>
    </row>
    <row r="86" spans="2:16" ht="14.65" thickBot="1" x14ac:dyDescent="0.5">
      <c r="B86" s="64" t="s">
        <v>14</v>
      </c>
      <c r="C86" s="65">
        <v>12</v>
      </c>
      <c r="D86" s="65">
        <v>26</v>
      </c>
      <c r="E86" s="65">
        <v>40</v>
      </c>
      <c r="F86" s="65">
        <v>54</v>
      </c>
      <c r="G86" s="66">
        <f t="shared" si="28"/>
        <v>1.000000000000002</v>
      </c>
      <c r="K86" s="56" t="s">
        <v>36</v>
      </c>
      <c r="L86" s="57"/>
      <c r="M86" s="70"/>
      <c r="N86" s="71" t="s">
        <v>37</v>
      </c>
      <c r="O86" s="57"/>
      <c r="P86" s="58"/>
    </row>
    <row r="87" spans="2:16" ht="14.65" thickBot="1" x14ac:dyDescent="0.5"/>
    <row r="88" spans="2:16" x14ac:dyDescent="0.45">
      <c r="B88" s="44" t="s">
        <v>63</v>
      </c>
      <c r="C88" s="23">
        <v>1.85185185185185E-2</v>
      </c>
      <c r="D88" s="23">
        <v>0</v>
      </c>
      <c r="E88" s="23">
        <v>0</v>
      </c>
      <c r="F88" s="23">
        <v>1.4403292181070001E-2</v>
      </c>
      <c r="G88" s="51">
        <f>SUM(C88:F88)</f>
        <v>3.2921810699588501E-2</v>
      </c>
    </row>
    <row r="89" spans="2:16" ht="14.65" thickBot="1" x14ac:dyDescent="0.5">
      <c r="B89" s="28" t="s">
        <v>62</v>
      </c>
      <c r="C89" s="30">
        <v>1.4403292181070001E-2</v>
      </c>
      <c r="D89" s="30">
        <v>0</v>
      </c>
      <c r="E89" s="30">
        <v>0</v>
      </c>
      <c r="F89" s="30">
        <v>1.85185185185185E-2</v>
      </c>
      <c r="G89" s="52">
        <f>SUM(C89:F89)</f>
        <v>3.2921810699588501E-2</v>
      </c>
    </row>
    <row r="90" spans="2:16" ht="14.65" thickBot="1" x14ac:dyDescent="0.5"/>
    <row r="91" spans="2:16" x14ac:dyDescent="0.45">
      <c r="B91" s="53" t="s">
        <v>60</v>
      </c>
      <c r="C91" s="54"/>
      <c r="D91" s="55"/>
    </row>
    <row r="92" spans="2:16" ht="14.65" thickBot="1" x14ac:dyDescent="0.5">
      <c r="B92" s="56" t="s">
        <v>61</v>
      </c>
      <c r="C92" s="57"/>
      <c r="D92" s="58"/>
    </row>
    <row r="93" spans="2:16" ht="14.65" thickBot="1" x14ac:dyDescent="0.5"/>
    <row r="94" spans="2:16" x14ac:dyDescent="0.45">
      <c r="B94" s="1" t="s">
        <v>48</v>
      </c>
      <c r="C94" s="2"/>
      <c r="D94" s="2"/>
      <c r="E94" s="9"/>
    </row>
    <row r="95" spans="2:16" x14ac:dyDescent="0.45">
      <c r="B95" s="4"/>
      <c r="C95" s="22"/>
      <c r="D95" s="22"/>
      <c r="E95" s="48"/>
    </row>
    <row r="96" spans="2:16" x14ac:dyDescent="0.45">
      <c r="B96" s="4" t="s">
        <v>38</v>
      </c>
      <c r="C96" s="22"/>
      <c r="D96" s="22"/>
      <c r="E96" s="48"/>
    </row>
    <row r="97" spans="2:5" x14ac:dyDescent="0.45">
      <c r="B97" s="4"/>
      <c r="C97" s="22"/>
      <c r="D97" s="22"/>
      <c r="E97" s="48"/>
    </row>
    <row r="98" spans="2:5" x14ac:dyDescent="0.45">
      <c r="B98" s="4" t="s">
        <v>40</v>
      </c>
      <c r="C98" s="22"/>
      <c r="D98" s="22"/>
      <c r="E98" s="48"/>
    </row>
    <row r="99" spans="2:5" x14ac:dyDescent="0.45">
      <c r="B99" s="4" t="s">
        <v>42</v>
      </c>
      <c r="C99" s="22"/>
      <c r="D99" s="22"/>
      <c r="E99" s="48"/>
    </row>
    <row r="100" spans="2:5" x14ac:dyDescent="0.45">
      <c r="B100" s="4" t="s">
        <v>44</v>
      </c>
      <c r="C100" s="22"/>
      <c r="D100" s="22"/>
      <c r="E100" s="48"/>
    </row>
    <row r="101" spans="2:5" ht="14.65" thickBot="1" x14ac:dyDescent="0.5">
      <c r="B101" s="6" t="s">
        <v>46</v>
      </c>
      <c r="C101" s="49"/>
      <c r="D101" s="49"/>
      <c r="E101" s="35"/>
    </row>
    <row r="103" spans="2:5" ht="14.65" thickBot="1" x14ac:dyDescent="0.5"/>
    <row r="104" spans="2:5" x14ac:dyDescent="0.45">
      <c r="B104" s="1" t="s">
        <v>49</v>
      </c>
      <c r="C104" s="2"/>
      <c r="D104" s="2"/>
      <c r="E104" s="9"/>
    </row>
    <row r="105" spans="2:5" x14ac:dyDescent="0.45">
      <c r="B105" s="4"/>
      <c r="C105" s="22"/>
      <c r="D105" s="22"/>
      <c r="E105" s="48"/>
    </row>
    <row r="106" spans="2:5" x14ac:dyDescent="0.45">
      <c r="B106" s="4" t="s">
        <v>39</v>
      </c>
      <c r="C106" s="22"/>
      <c r="D106" s="22"/>
      <c r="E106" s="48"/>
    </row>
    <row r="107" spans="2:5" x14ac:dyDescent="0.45">
      <c r="B107" s="4"/>
      <c r="C107" s="22"/>
      <c r="D107" s="22"/>
      <c r="E107" s="48"/>
    </row>
    <row r="108" spans="2:5" x14ac:dyDescent="0.45">
      <c r="B108" s="4" t="s">
        <v>41</v>
      </c>
      <c r="C108" s="22"/>
      <c r="D108" s="22"/>
      <c r="E108" s="48"/>
    </row>
    <row r="109" spans="2:5" x14ac:dyDescent="0.45">
      <c r="B109" s="4" t="s">
        <v>43</v>
      </c>
      <c r="C109" s="22"/>
      <c r="D109" s="22"/>
      <c r="E109" s="48"/>
    </row>
    <row r="110" spans="2:5" x14ac:dyDescent="0.45">
      <c r="B110" s="4" t="s">
        <v>45</v>
      </c>
      <c r="C110" s="22"/>
      <c r="D110" s="22"/>
      <c r="E110" s="48"/>
    </row>
    <row r="111" spans="2:5" ht="14.65" thickBot="1" x14ac:dyDescent="0.5">
      <c r="B111" s="6" t="s">
        <v>47</v>
      </c>
      <c r="C111" s="49"/>
      <c r="D111" s="49"/>
      <c r="E111" s="35"/>
    </row>
  </sheetData>
  <mergeCells count="67">
    <mergeCell ref="B68:I68"/>
    <mergeCell ref="G74:I74"/>
    <mergeCell ref="S60:S61"/>
    <mergeCell ref="S63:S64"/>
    <mergeCell ref="S66:S68"/>
    <mergeCell ref="L62:S62"/>
    <mergeCell ref="L65:S65"/>
    <mergeCell ref="B76:D76"/>
    <mergeCell ref="B77:D77"/>
    <mergeCell ref="B79:K79"/>
    <mergeCell ref="L63:R64"/>
    <mergeCell ref="L66:R68"/>
    <mergeCell ref="O85:P85"/>
    <mergeCell ref="O84:P84"/>
    <mergeCell ref="O83:P83"/>
    <mergeCell ref="O82:P82"/>
    <mergeCell ref="O81:P81"/>
    <mergeCell ref="K86:M86"/>
    <mergeCell ref="N86:P86"/>
    <mergeCell ref="L83:M83"/>
    <mergeCell ref="L84:M84"/>
    <mergeCell ref="L85:M85"/>
    <mergeCell ref="B91:D91"/>
    <mergeCell ref="B92:D92"/>
    <mergeCell ref="B81:G81"/>
    <mergeCell ref="L82:M82"/>
    <mergeCell ref="L81:M81"/>
    <mergeCell ref="B111:E111"/>
    <mergeCell ref="B101:E101"/>
    <mergeCell ref="B95:E95"/>
    <mergeCell ref="B97:E97"/>
    <mergeCell ref="B104:E104"/>
    <mergeCell ref="B106:E106"/>
    <mergeCell ref="B105:E105"/>
    <mergeCell ref="B107:E107"/>
    <mergeCell ref="B108:E108"/>
    <mergeCell ref="B109:E109"/>
    <mergeCell ref="B110:E110"/>
    <mergeCell ref="B94:E94"/>
    <mergeCell ref="B96:E96"/>
    <mergeCell ref="B98:E98"/>
    <mergeCell ref="B99:E99"/>
    <mergeCell ref="B100:E100"/>
    <mergeCell ref="B48:G48"/>
    <mergeCell ref="L60:R61"/>
    <mergeCell ref="M58:S58"/>
    <mergeCell ref="B59:I59"/>
    <mergeCell ref="B57:I57"/>
    <mergeCell ref="G65:I65"/>
    <mergeCell ref="B10:C11"/>
    <mergeCell ref="B18:G18"/>
    <mergeCell ref="B37:J37"/>
    <mergeCell ref="B29:G29"/>
    <mergeCell ref="B20:G20"/>
    <mergeCell ref="B39:G39"/>
    <mergeCell ref="I3:N3"/>
    <mergeCell ref="I4:I7"/>
    <mergeCell ref="J4:N4"/>
    <mergeCell ref="J5:N5"/>
    <mergeCell ref="J6:N6"/>
    <mergeCell ref="J7:N7"/>
    <mergeCell ref="B3:F3"/>
    <mergeCell ref="B4:B7"/>
    <mergeCell ref="C4:F4"/>
    <mergeCell ref="C5:F5"/>
    <mergeCell ref="C6:F6"/>
    <mergeCell ref="C7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Отчет об устойчивости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Ушаков</dc:creator>
  <cp:lastModifiedBy>Александр Ушаков</cp:lastModifiedBy>
  <dcterms:created xsi:type="dcterms:W3CDTF">2015-06-05T18:17:20Z</dcterms:created>
  <dcterms:modified xsi:type="dcterms:W3CDTF">2025-10-05T20:40:12Z</dcterms:modified>
</cp:coreProperties>
</file>