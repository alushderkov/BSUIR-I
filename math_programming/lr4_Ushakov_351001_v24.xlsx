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suir\mp3_mp4\"/>
    </mc:Choice>
  </mc:AlternateContent>
  <xr:revisionPtr revIDLastSave="0" documentId="13_ncr:1_{ED338CB3-42CA-411A-9E81-E7E571C650B1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Отчет об устойчивости 1" sheetId="2" r:id="rId1"/>
    <sheet name="Sheet1" sheetId="1" r:id="rId2"/>
  </sheets>
  <definedNames>
    <definedName name="solver_adj" localSheetId="1" hidden="1">Sheet1!$C$46:$F$46</definedName>
    <definedName name="solver_eng" localSheetId="1" hidden="1">2</definedName>
    <definedName name="solver_itr" localSheetId="1" hidden="1">2147483647</definedName>
    <definedName name="solver_lhs1" localSheetId="1" hidden="1">Sheet1!$G$41</definedName>
    <definedName name="solver_lhs2" localSheetId="1" hidden="1">Sheet1!$G$42</definedName>
    <definedName name="solver_lhs3" localSheetId="1" hidden="1">Sheet1!$G$43</definedName>
    <definedName name="solver_lhs4" localSheetId="1" hidden="1">Sheet1!$G$44</definedName>
    <definedName name="solver_neg" localSheetId="1" hidden="1">1</definedName>
    <definedName name="solver_num" localSheetId="1" hidden="1">4</definedName>
    <definedName name="solver_opt" localSheetId="1" hidden="1">Sheet1!$G$46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hs1" localSheetId="1" hidden="1">1</definedName>
    <definedName name="solver_rhs2" localSheetId="1" hidden="1">1</definedName>
    <definedName name="solver_rhs3" localSheetId="1" hidden="1">1</definedName>
    <definedName name="solver_rhs4" localSheetId="1" hidden="1">1</definedName>
    <definedName name="solver_tim" localSheetId="1" hidden="1">2147483647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5" i="1" l="1"/>
  <c r="E55" i="1"/>
  <c r="F55" i="1"/>
  <c r="G55" i="1"/>
  <c r="C55" i="1"/>
  <c r="D54" i="1"/>
  <c r="E54" i="1"/>
  <c r="F54" i="1"/>
  <c r="G54" i="1"/>
  <c r="C54" i="1"/>
  <c r="C53" i="1"/>
  <c r="G49" i="1"/>
  <c r="F49" i="1"/>
  <c r="E49" i="1"/>
  <c r="D49" i="1"/>
  <c r="C49" i="1"/>
  <c r="G46" i="1"/>
  <c r="G42" i="1"/>
  <c r="G43" i="1"/>
  <c r="G44" i="1"/>
  <c r="G41" i="1"/>
  <c r="I20" i="1"/>
  <c r="I21" i="1"/>
  <c r="I22" i="1"/>
  <c r="I19" i="1"/>
  <c r="D19" i="1"/>
  <c r="E19" i="1"/>
  <c r="F19" i="1"/>
  <c r="D20" i="1"/>
  <c r="E20" i="1"/>
  <c r="F20" i="1"/>
  <c r="D21" i="1"/>
  <c r="E21" i="1"/>
  <c r="F21" i="1"/>
  <c r="D22" i="1"/>
  <c r="E22" i="1"/>
  <c r="F22" i="1"/>
  <c r="C20" i="1"/>
  <c r="C21" i="1"/>
  <c r="C22" i="1"/>
  <c r="C19" i="1"/>
  <c r="I12" i="1"/>
  <c r="I13" i="1"/>
  <c r="I14" i="1"/>
  <c r="I11" i="1"/>
</calcChain>
</file>

<file path=xl/sharedStrings.xml><?xml version="1.0" encoding="utf-8"?>
<sst xmlns="http://schemas.openxmlformats.org/spreadsheetml/2006/main" count="110" uniqueCount="76">
  <si>
    <t>A1</t>
  </si>
  <si>
    <t>A2</t>
  </si>
  <si>
    <t>A3</t>
  </si>
  <si>
    <t>A4</t>
  </si>
  <si>
    <t>P1</t>
  </si>
  <si>
    <t>P2</t>
  </si>
  <si>
    <t>P3</t>
  </si>
  <si>
    <t>P4</t>
  </si>
  <si>
    <r>
      <t>b</t>
    </r>
    <r>
      <rPr>
        <sz val="8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 = max</t>
    </r>
    <r>
      <rPr>
        <sz val="8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(a</t>
    </r>
    <r>
      <rPr>
        <sz val="8"/>
        <color theme="1"/>
        <rFont val="Calibri"/>
        <family val="2"/>
        <scheme val="minor"/>
      </rPr>
      <t>ij</t>
    </r>
    <r>
      <rPr>
        <sz val="11"/>
        <color theme="1"/>
        <rFont val="Calibri"/>
        <family val="2"/>
        <scheme val="minor"/>
      </rPr>
      <t>)</t>
    </r>
  </si>
  <si>
    <r>
      <t>min</t>
    </r>
    <r>
      <rPr>
        <sz val="8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(a</t>
    </r>
    <r>
      <rPr>
        <sz val="8"/>
        <color theme="1"/>
        <rFont val="Calibri"/>
        <family val="2"/>
        <scheme val="minor"/>
      </rPr>
      <t>ij</t>
    </r>
    <r>
      <rPr>
        <sz val="11"/>
        <color theme="1"/>
        <rFont val="Calibri"/>
        <family val="2"/>
        <scheme val="minor"/>
      </rPr>
      <t>)</t>
    </r>
  </si>
  <si>
    <r>
      <t>max</t>
    </r>
    <r>
      <rPr>
        <sz val="8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(a</t>
    </r>
    <r>
      <rPr>
        <sz val="8"/>
        <color theme="1"/>
        <rFont val="Calibri"/>
        <family val="2"/>
        <scheme val="minor"/>
      </rPr>
      <t>ij</t>
    </r>
    <r>
      <rPr>
        <sz val="11"/>
        <color theme="1"/>
        <rFont val="Calibri"/>
        <family val="2"/>
        <scheme val="minor"/>
      </rPr>
      <t>)</t>
    </r>
  </si>
  <si>
    <t>По Гурвицу 
(k = 0.5)</t>
  </si>
  <si>
    <r>
      <t>min</t>
    </r>
    <r>
      <rPr>
        <sz val="8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(r</t>
    </r>
    <r>
      <rPr>
        <sz val="8"/>
        <color theme="1"/>
        <rFont val="Calibri"/>
        <family val="2"/>
        <scheme val="minor"/>
      </rPr>
      <t>ij</t>
    </r>
    <r>
      <rPr>
        <sz val="11"/>
        <color theme="1"/>
        <rFont val="Calibri"/>
        <family val="2"/>
        <scheme val="minor"/>
      </rPr>
      <t>)</t>
    </r>
  </si>
  <si>
    <r>
      <t>max</t>
    </r>
    <r>
      <rPr>
        <sz val="8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(r</t>
    </r>
    <r>
      <rPr>
        <sz val="8"/>
        <color theme="1"/>
        <rFont val="Calibri"/>
        <family val="2"/>
        <scheme val="minor"/>
      </rPr>
      <t>ij</t>
    </r>
    <r>
      <rPr>
        <sz val="11"/>
        <color theme="1"/>
        <rFont val="Calibri"/>
        <family val="2"/>
        <scheme val="minor"/>
      </rPr>
      <t>)</t>
    </r>
  </si>
  <si>
    <t>Критерий Сэвиджа (минимаксного риска)</t>
  </si>
  <si>
    <t>Критерий Гурвица (пессимизма-оптимизма)</t>
  </si>
  <si>
    <t>Максимальный критерий</t>
  </si>
  <si>
    <t>Максиминный критерий Вальда</t>
  </si>
  <si>
    <t>Математическая модель для игрока A:</t>
  </si>
  <si>
    <t>f(y) = y1 + y2 + y3 + y4 -&gt; max</t>
  </si>
  <si>
    <t>z(x) = x1 + x2 + x3 + x4 -&gt; min</t>
  </si>
  <si>
    <t>Математическая модель для игрока P</t>
  </si>
  <si>
    <t>2*y1 + 8*y2 + 10*y3 + 5*y4 &lt;= 1</t>
  </si>
  <si>
    <t>10*y1 +9*y2 + 8*y3 + 11*y4 &lt;= 1</t>
  </si>
  <si>
    <t>1*y1 + 7*y2 + 5*y3 + 2*y4 &lt;= 1</t>
  </si>
  <si>
    <t>8*y1 + 5*y2 + 4*y3 + 9*y4 &lt;= 1</t>
  </si>
  <si>
    <t>2*x1 + 10*x2 + 1*x3 + 8*x4 &gt;= 1</t>
  </si>
  <si>
    <t>8*x1 + 9*x2 + 7*x3 + 5*x4 &gt;= 1</t>
  </si>
  <si>
    <t>10*x1 + 8*x2 + 5*x3 + 4*x4 &gt;= 1</t>
  </si>
  <si>
    <t>5*x1 + 11*x2 + 2*x3 + 9*x4 &gt;= 1</t>
  </si>
  <si>
    <t>Y</t>
  </si>
  <si>
    <t>Sum</t>
  </si>
  <si>
    <t>X</t>
  </si>
  <si>
    <t>Microsoft Excel 16.0 Отчет об устойчивости</t>
  </si>
  <si>
    <t>Лист: [lr4_Ushakov_351001_v24.xlsx]Sheet1</t>
  </si>
  <si>
    <t>Отчет создан: 10/5/2025 5:38:48 PM</t>
  </si>
  <si>
    <t>Ячейки переменных</t>
  </si>
  <si>
    <t>Ячейка</t>
  </si>
  <si>
    <t>Имя</t>
  </si>
  <si>
    <t>Окончательное</t>
  </si>
  <si>
    <t>Значение</t>
  </si>
  <si>
    <t>Приведенн.</t>
  </si>
  <si>
    <t>Стоимость</t>
  </si>
  <si>
    <t>Целевая функция</t>
  </si>
  <si>
    <t>Коэффициент</t>
  </si>
  <si>
    <t>Допустимое</t>
  </si>
  <si>
    <t>Увеличение</t>
  </si>
  <si>
    <t>Уменьшение</t>
  </si>
  <si>
    <t>Ограничения</t>
  </si>
  <si>
    <t>Тень</t>
  </si>
  <si>
    <t>Цена</t>
  </si>
  <si>
    <t>Ограничение</t>
  </si>
  <si>
    <t>Правая сторона</t>
  </si>
  <si>
    <t>$C$46</t>
  </si>
  <si>
    <t>Y P1</t>
  </si>
  <si>
    <t>$D$46</t>
  </si>
  <si>
    <t>Y P2</t>
  </si>
  <si>
    <t>$E$46</t>
  </si>
  <si>
    <t>Y P3</t>
  </si>
  <si>
    <t>$F$46</t>
  </si>
  <si>
    <t>Y P4</t>
  </si>
  <si>
    <t>$G$41</t>
  </si>
  <si>
    <t>A1 5*x1 + 11*x2 + 2*x3 + 9*x4 &gt;= 1</t>
  </si>
  <si>
    <t>$G$42</t>
  </si>
  <si>
    <t>A2 5*x1 + 11*x2 + 2*x3 + 9*x4 &gt;= 1</t>
  </si>
  <si>
    <t>$G$43</t>
  </si>
  <si>
    <t>A3 5*x1 + 11*x2 + 2*x3 + 9*x4 &gt;= 1</t>
  </si>
  <si>
    <t>$G$44</t>
  </si>
  <si>
    <t>A4 5*x1 + 11*x2 + 2*x3 + 9*x4 &gt;= 1</t>
  </si>
  <si>
    <t>$C$46:$F$46</t>
  </si>
  <si>
    <t>Тень
Цена</t>
  </si>
  <si>
    <t>f(y)</t>
  </si>
  <si>
    <t>z(x)</t>
  </si>
  <si>
    <t>v</t>
  </si>
  <si>
    <t>q*</t>
  </si>
  <si>
    <t>p*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</si>
</sst>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/>
    <xf numFmtId="0" fontId="0" fillId="0" borderId="0" xfId="0" applyFill="1" applyBorder="1" applyAlignment="1"/>
    <xf numFmtId="0" fontId="0" fillId="0" borderId="7" xfId="0" applyFill="1" applyBorder="1" applyAlignment="1"/>
    <xf numFmtId="0" fontId="0" fillId="0" borderId="8" xfId="0" applyFill="1" applyBorder="1" applyAlignment="1"/>
    <xf numFmtId="0" fontId="5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0" fillId="0" borderId="1" xfId="0" applyFill="1" applyBorder="1" applyAlignment="1"/>
    <xf numFmtId="0" fontId="5" fillId="0" borderId="10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35B1E-4644-4384-9B6A-CC9839A24E3E}">
  <dimension ref="A1:H22"/>
  <sheetViews>
    <sheetView showGridLines="0" topLeftCell="A5" workbookViewId="0">
      <selection activeCell="E17" sqref="E17:E22"/>
    </sheetView>
  </sheetViews>
  <sheetFormatPr defaultRowHeight="14.25" outlineLevelRow="1" x14ac:dyDescent="0.45"/>
  <cols>
    <col min="1" max="1" width="2.1328125" customWidth="1"/>
    <col min="2" max="2" width="6.73046875" bestFit="1" customWidth="1"/>
    <col min="3" max="3" width="29.265625" bestFit="1" customWidth="1"/>
    <col min="4" max="4" width="13.86328125" bestFit="1" customWidth="1"/>
    <col min="5" max="5" width="12.33203125" bestFit="1" customWidth="1"/>
    <col min="6" max="6" width="15.6640625" bestFit="1" customWidth="1"/>
    <col min="7" max="7" width="11.73046875" bestFit="1" customWidth="1"/>
    <col min="8" max="8" width="11.796875" bestFit="1" customWidth="1"/>
  </cols>
  <sheetData>
    <row r="1" spans="1:8" x14ac:dyDescent="0.45">
      <c r="A1" s="19" t="s">
        <v>33</v>
      </c>
    </row>
    <row r="2" spans="1:8" x14ac:dyDescent="0.45">
      <c r="A2" s="19" t="s">
        <v>34</v>
      </c>
    </row>
    <row r="3" spans="1:8" x14ac:dyDescent="0.45">
      <c r="A3" s="19" t="s">
        <v>35</v>
      </c>
    </row>
    <row r="6" spans="1:8" ht="14.65" thickBot="1" x14ac:dyDescent="0.5">
      <c r="A6" t="s">
        <v>36</v>
      </c>
    </row>
    <row r="7" spans="1:8" x14ac:dyDescent="0.45">
      <c r="B7" s="23"/>
      <c r="C7" s="23"/>
      <c r="D7" s="23" t="s">
        <v>39</v>
      </c>
      <c r="E7" s="23" t="s">
        <v>41</v>
      </c>
      <c r="F7" s="23" t="s">
        <v>43</v>
      </c>
      <c r="G7" s="23" t="s">
        <v>45</v>
      </c>
      <c r="H7" s="23" t="s">
        <v>45</v>
      </c>
    </row>
    <row r="8" spans="1:8" ht="14.65" thickBot="1" x14ac:dyDescent="0.5">
      <c r="B8" s="24" t="s">
        <v>37</v>
      </c>
      <c r="C8" s="24" t="s">
        <v>38</v>
      </c>
      <c r="D8" s="24" t="s">
        <v>40</v>
      </c>
      <c r="E8" s="24" t="s">
        <v>42</v>
      </c>
      <c r="F8" s="24" t="s">
        <v>44</v>
      </c>
      <c r="G8" s="24" t="s">
        <v>46</v>
      </c>
      <c r="H8" s="24" t="s">
        <v>47</v>
      </c>
    </row>
    <row r="9" spans="1:8" x14ac:dyDescent="0.45">
      <c r="B9" s="26" t="s">
        <v>69</v>
      </c>
      <c r="C9" s="25"/>
      <c r="D9" s="25"/>
      <c r="E9" s="25"/>
      <c r="F9" s="25"/>
      <c r="G9" s="25"/>
      <c r="H9" s="25"/>
    </row>
    <row r="10" spans="1:8" hidden="1" outlineLevel="1" x14ac:dyDescent="0.45">
      <c r="B10" s="21" t="s">
        <v>53</v>
      </c>
      <c r="C10" s="21" t="s">
        <v>54</v>
      </c>
      <c r="D10" s="21">
        <v>2.3809523809523808E-2</v>
      </c>
      <c r="E10" s="21">
        <v>0</v>
      </c>
      <c r="F10" s="21">
        <v>1</v>
      </c>
      <c r="G10" s="21">
        <v>0.24999999999999992</v>
      </c>
      <c r="H10" s="21">
        <v>0.15384615384615374</v>
      </c>
    </row>
    <row r="11" spans="1:8" hidden="1" outlineLevel="1" x14ac:dyDescent="0.45">
      <c r="B11" s="21" t="s">
        <v>55</v>
      </c>
      <c r="C11" s="21" t="s">
        <v>56</v>
      </c>
      <c r="D11" s="21">
        <v>0</v>
      </c>
      <c r="E11" s="21">
        <v>-4.7619047619047589E-2</v>
      </c>
      <c r="F11" s="21">
        <v>1</v>
      </c>
      <c r="G11" s="21">
        <v>4.7619047619047589E-2</v>
      </c>
      <c r="H11" s="21">
        <v>1E+30</v>
      </c>
    </row>
    <row r="12" spans="1:8" hidden="1" outlineLevel="1" x14ac:dyDescent="0.45">
      <c r="B12" s="21" t="s">
        <v>57</v>
      </c>
      <c r="C12" s="21" t="s">
        <v>58</v>
      </c>
      <c r="D12" s="21">
        <v>9.5238095238095233E-2</v>
      </c>
      <c r="E12" s="21">
        <v>0</v>
      </c>
      <c r="F12" s="21">
        <v>1</v>
      </c>
      <c r="G12" s="21">
        <v>4.0000000000000009</v>
      </c>
      <c r="H12" s="21">
        <v>6.4516129032258035E-2</v>
      </c>
    </row>
    <row r="13" spans="1:8" ht="14.65" hidden="1" outlineLevel="1" thickBot="1" x14ac:dyDescent="0.5">
      <c r="B13" s="22" t="s">
        <v>59</v>
      </c>
      <c r="C13" s="22" t="s">
        <v>60</v>
      </c>
      <c r="D13" s="22">
        <v>0</v>
      </c>
      <c r="E13" s="22">
        <v>-0.16666666666666674</v>
      </c>
      <c r="F13" s="22">
        <v>1</v>
      </c>
      <c r="G13" s="22">
        <v>0.16666666666666674</v>
      </c>
      <c r="H13" s="22">
        <v>1E+30</v>
      </c>
    </row>
    <row r="14" spans="1:8" collapsed="1" x14ac:dyDescent="0.45">
      <c r="B14" s="20"/>
      <c r="C14" s="20"/>
      <c r="D14" s="20"/>
      <c r="E14" s="20"/>
      <c r="F14" s="20"/>
      <c r="G14" s="20"/>
      <c r="H14" s="20"/>
    </row>
    <row r="16" spans="1:8" ht="14.65" thickBot="1" x14ac:dyDescent="0.5">
      <c r="A16" t="s">
        <v>48</v>
      </c>
    </row>
    <row r="17" spans="2:8" x14ac:dyDescent="0.45">
      <c r="B17" s="23"/>
      <c r="C17" s="23"/>
      <c r="D17" s="23" t="s">
        <v>39</v>
      </c>
      <c r="E17" s="23" t="s">
        <v>49</v>
      </c>
      <c r="F17" s="23" t="s">
        <v>51</v>
      </c>
      <c r="G17" s="23" t="s">
        <v>45</v>
      </c>
      <c r="H17" s="23" t="s">
        <v>45</v>
      </c>
    </row>
    <row r="18" spans="2:8" ht="14.65" thickBot="1" x14ac:dyDescent="0.5">
      <c r="B18" s="24" t="s">
        <v>37</v>
      </c>
      <c r="C18" s="24" t="s">
        <v>38</v>
      </c>
      <c r="D18" s="24" t="s">
        <v>40</v>
      </c>
      <c r="E18" s="24" t="s">
        <v>50</v>
      </c>
      <c r="F18" s="24" t="s">
        <v>52</v>
      </c>
      <c r="G18" s="24" t="s">
        <v>46</v>
      </c>
      <c r="H18" s="24" t="s">
        <v>47</v>
      </c>
    </row>
    <row r="19" spans="2:8" x14ac:dyDescent="0.45">
      <c r="B19" s="21" t="s">
        <v>61</v>
      </c>
      <c r="C19" s="21" t="s">
        <v>62</v>
      </c>
      <c r="D19" s="21">
        <v>1</v>
      </c>
      <c r="E19" s="21">
        <v>2.3809523809523801E-2</v>
      </c>
      <c r="F19" s="21">
        <v>1</v>
      </c>
      <c r="G19" s="21">
        <v>0.25</v>
      </c>
      <c r="H19" s="21">
        <v>0.8</v>
      </c>
    </row>
    <row r="20" spans="2:8" x14ac:dyDescent="0.45">
      <c r="B20" s="21" t="s">
        <v>63</v>
      </c>
      <c r="C20" s="21" t="s">
        <v>64</v>
      </c>
      <c r="D20" s="21">
        <v>1</v>
      </c>
      <c r="E20" s="21">
        <v>9.5238095238095247E-2</v>
      </c>
      <c r="F20" s="21">
        <v>1</v>
      </c>
      <c r="G20" s="21">
        <v>0.49999999999999994</v>
      </c>
      <c r="H20" s="21">
        <v>0.19999999999999998</v>
      </c>
    </row>
    <row r="21" spans="2:8" x14ac:dyDescent="0.45">
      <c r="B21" s="21" t="s">
        <v>65</v>
      </c>
      <c r="C21" s="21" t="s">
        <v>66</v>
      </c>
      <c r="D21" s="21">
        <v>0.5</v>
      </c>
      <c r="E21" s="21">
        <v>0</v>
      </c>
      <c r="F21" s="21">
        <v>1</v>
      </c>
      <c r="G21" s="21">
        <v>1E+30</v>
      </c>
      <c r="H21" s="21">
        <v>0.5</v>
      </c>
    </row>
    <row r="22" spans="2:8" ht="14.65" thickBot="1" x14ac:dyDescent="0.5">
      <c r="B22" s="22" t="s">
        <v>67</v>
      </c>
      <c r="C22" s="22" t="s">
        <v>68</v>
      </c>
      <c r="D22" s="22">
        <v>0.5714285714285714</v>
      </c>
      <c r="E22" s="22">
        <v>0</v>
      </c>
      <c r="F22" s="22">
        <v>1</v>
      </c>
      <c r="G22" s="22">
        <v>1E+30</v>
      </c>
      <c r="H22" s="22">
        <v>0.42857142857142855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6"/>
  <sheetViews>
    <sheetView tabSelected="1" zoomScale="79" workbookViewId="0">
      <selection activeCell="B3" sqref="B3:F5"/>
    </sheetView>
  </sheetViews>
  <sheetFormatPr defaultRowHeight="14.25" x14ac:dyDescent="0.45"/>
  <cols>
    <col min="1" max="1" width="9.06640625" style="2"/>
    <col min="2" max="8" width="10.9296875" style="2" customWidth="1"/>
    <col min="9" max="9" width="14.1328125" style="2" customWidth="1"/>
    <col min="10" max="16384" width="9.06640625" style="2"/>
  </cols>
  <sheetData>
    <row r="3" spans="2:12" x14ac:dyDescent="0.45">
      <c r="B3" s="1"/>
      <c r="C3" s="1" t="s">
        <v>4</v>
      </c>
      <c r="D3" s="1" t="s">
        <v>5</v>
      </c>
      <c r="E3" s="1" t="s">
        <v>6</v>
      </c>
      <c r="F3" s="1" t="s">
        <v>7</v>
      </c>
    </row>
    <row r="4" spans="2:12" x14ac:dyDescent="0.45">
      <c r="B4" s="1" t="s">
        <v>0</v>
      </c>
      <c r="C4" s="1">
        <v>2</v>
      </c>
      <c r="D4" s="1">
        <v>8</v>
      </c>
      <c r="E4" s="1">
        <v>10</v>
      </c>
      <c r="F4" s="1">
        <v>5</v>
      </c>
    </row>
    <row r="5" spans="2:12" x14ac:dyDescent="0.45">
      <c r="B5" s="1" t="s">
        <v>1</v>
      </c>
      <c r="C5" s="1">
        <v>10</v>
      </c>
      <c r="D5" s="1">
        <v>9</v>
      </c>
      <c r="E5" s="1">
        <v>8</v>
      </c>
      <c r="F5" s="1">
        <v>11</v>
      </c>
    </row>
    <row r="6" spans="2:12" x14ac:dyDescent="0.45">
      <c r="B6" s="1" t="s">
        <v>2</v>
      </c>
      <c r="C6" s="1">
        <v>1</v>
      </c>
      <c r="D6" s="1">
        <v>7</v>
      </c>
      <c r="E6" s="1">
        <v>5</v>
      </c>
      <c r="F6" s="1">
        <v>2</v>
      </c>
    </row>
    <row r="7" spans="2:12" x14ac:dyDescent="0.45">
      <c r="B7" s="1" t="s">
        <v>3</v>
      </c>
      <c r="C7" s="1">
        <v>8</v>
      </c>
      <c r="D7" s="1">
        <v>5</v>
      </c>
      <c r="E7" s="1">
        <v>4</v>
      </c>
      <c r="F7" s="1">
        <v>9</v>
      </c>
    </row>
    <row r="10" spans="2:12" ht="28.5" x14ac:dyDescent="0.45">
      <c r="B10" s="1"/>
      <c r="C10" s="1" t="s">
        <v>4</v>
      </c>
      <c r="D10" s="1" t="s">
        <v>5</v>
      </c>
      <c r="E10" s="1" t="s">
        <v>6</v>
      </c>
      <c r="F10" s="1" t="s">
        <v>7</v>
      </c>
      <c r="G10" s="1" t="s">
        <v>9</v>
      </c>
      <c r="H10" s="1" t="s">
        <v>10</v>
      </c>
      <c r="I10" s="3" t="s">
        <v>11</v>
      </c>
      <c r="L10" s="13"/>
    </row>
    <row r="11" spans="2:12" x14ac:dyDescent="0.45">
      <c r="B11" s="1" t="s">
        <v>0</v>
      </c>
      <c r="C11" s="1">
        <v>2</v>
      </c>
      <c r="D11" s="1">
        <v>8</v>
      </c>
      <c r="E11" s="1">
        <v>10</v>
      </c>
      <c r="F11" s="1">
        <v>5</v>
      </c>
      <c r="G11" s="1">
        <v>2</v>
      </c>
      <c r="H11" s="1">
        <v>10</v>
      </c>
      <c r="I11" s="1">
        <f>(G11+H11)*0.5</f>
        <v>6</v>
      </c>
    </row>
    <row r="12" spans="2:12" x14ac:dyDescent="0.45">
      <c r="B12" s="14" t="s">
        <v>1</v>
      </c>
      <c r="C12" s="1">
        <v>10</v>
      </c>
      <c r="D12" s="1">
        <v>9</v>
      </c>
      <c r="E12" s="1">
        <v>8</v>
      </c>
      <c r="F12" s="1">
        <v>11</v>
      </c>
      <c r="G12" s="15">
        <v>8</v>
      </c>
      <c r="H12" s="9">
        <v>11</v>
      </c>
      <c r="I12" s="12">
        <f t="shared" ref="I12:I14" si="0">(G12+H12)*0.5</f>
        <v>9.5</v>
      </c>
    </row>
    <row r="13" spans="2:12" x14ac:dyDescent="0.45">
      <c r="B13" s="1" t="s">
        <v>2</v>
      </c>
      <c r="C13" s="1">
        <v>1</v>
      </c>
      <c r="D13" s="1">
        <v>7</v>
      </c>
      <c r="E13" s="1">
        <v>5</v>
      </c>
      <c r="F13" s="1">
        <v>2</v>
      </c>
      <c r="G13" s="1">
        <v>1</v>
      </c>
      <c r="H13" s="1">
        <v>7</v>
      </c>
      <c r="I13" s="1">
        <f t="shared" si="0"/>
        <v>4</v>
      </c>
      <c r="L13" s="13"/>
    </row>
    <row r="14" spans="2:12" x14ac:dyDescent="0.45">
      <c r="B14" s="1" t="s">
        <v>3</v>
      </c>
      <c r="C14" s="1">
        <v>8</v>
      </c>
      <c r="D14" s="1">
        <v>5</v>
      </c>
      <c r="E14" s="1">
        <v>4</v>
      </c>
      <c r="F14" s="1">
        <v>9</v>
      </c>
      <c r="G14" s="1">
        <v>4</v>
      </c>
      <c r="H14" s="1">
        <v>9</v>
      </c>
      <c r="I14" s="1">
        <f t="shared" si="0"/>
        <v>6.5</v>
      </c>
    </row>
    <row r="15" spans="2:12" ht="25.5" customHeight="1" x14ac:dyDescent="0.45">
      <c r="B15" s="1" t="s">
        <v>8</v>
      </c>
      <c r="C15" s="1">
        <v>10</v>
      </c>
      <c r="D15" s="1">
        <v>9</v>
      </c>
      <c r="E15" s="1">
        <v>10</v>
      </c>
      <c r="F15" s="1">
        <v>11</v>
      </c>
      <c r="G15" s="5"/>
      <c r="H15" s="6"/>
      <c r="I15" s="7"/>
    </row>
    <row r="16" spans="2:12" x14ac:dyDescent="0.45">
      <c r="L16" s="13"/>
    </row>
    <row r="18" spans="2:10" ht="28.5" x14ac:dyDescent="0.45">
      <c r="B18" s="1"/>
      <c r="C18" s="1" t="s">
        <v>4</v>
      </c>
      <c r="D18" s="1" t="s">
        <v>5</v>
      </c>
      <c r="E18" s="1" t="s">
        <v>6</v>
      </c>
      <c r="F18" s="1" t="s">
        <v>7</v>
      </c>
      <c r="G18" s="1" t="s">
        <v>12</v>
      </c>
      <c r="H18" s="1" t="s">
        <v>13</v>
      </c>
      <c r="I18" s="3" t="s">
        <v>11</v>
      </c>
    </row>
    <row r="19" spans="2:10" x14ac:dyDescent="0.45">
      <c r="B19" s="1" t="s">
        <v>0</v>
      </c>
      <c r="C19" s="1">
        <f>C$15-C11</f>
        <v>8</v>
      </c>
      <c r="D19" s="1">
        <f t="shared" ref="D19:F19" si="1">D$15-D11</f>
        <v>1</v>
      </c>
      <c r="E19" s="1">
        <f t="shared" si="1"/>
        <v>0</v>
      </c>
      <c r="F19" s="1">
        <f t="shared" si="1"/>
        <v>6</v>
      </c>
      <c r="G19" s="1">
        <v>0</v>
      </c>
      <c r="H19" s="1">
        <v>8</v>
      </c>
      <c r="I19" s="1">
        <f>(G19+H19)*0.5</f>
        <v>4</v>
      </c>
    </row>
    <row r="20" spans="2:10" x14ac:dyDescent="0.45">
      <c r="B20" s="14" t="s">
        <v>1</v>
      </c>
      <c r="C20" s="1">
        <f t="shared" ref="C20:F22" si="2">C$15-C12</f>
        <v>0</v>
      </c>
      <c r="D20" s="1">
        <f t="shared" si="2"/>
        <v>0</v>
      </c>
      <c r="E20" s="1">
        <f t="shared" si="2"/>
        <v>2</v>
      </c>
      <c r="F20" s="1">
        <f t="shared" si="2"/>
        <v>0</v>
      </c>
      <c r="G20" s="1">
        <v>0</v>
      </c>
      <c r="H20" s="8">
        <v>2</v>
      </c>
      <c r="I20" s="12">
        <f t="shared" ref="I20:I22" si="3">(G20+H20)*0.5</f>
        <v>1</v>
      </c>
    </row>
    <row r="21" spans="2:10" x14ac:dyDescent="0.45">
      <c r="B21" s="1" t="s">
        <v>2</v>
      </c>
      <c r="C21" s="1">
        <f t="shared" si="2"/>
        <v>9</v>
      </c>
      <c r="D21" s="1">
        <f t="shared" si="2"/>
        <v>2</v>
      </c>
      <c r="E21" s="1">
        <f t="shared" si="2"/>
        <v>5</v>
      </c>
      <c r="F21" s="1">
        <f t="shared" si="2"/>
        <v>9</v>
      </c>
      <c r="G21" s="1">
        <v>2</v>
      </c>
      <c r="H21" s="1">
        <v>9</v>
      </c>
      <c r="I21" s="1">
        <f t="shared" si="3"/>
        <v>5.5</v>
      </c>
    </row>
    <row r="22" spans="2:10" x14ac:dyDescent="0.45">
      <c r="B22" s="1" t="s">
        <v>3</v>
      </c>
      <c r="C22" s="1">
        <f t="shared" si="2"/>
        <v>2</v>
      </c>
      <c r="D22" s="1">
        <f t="shared" si="2"/>
        <v>4</v>
      </c>
      <c r="E22" s="1">
        <f t="shared" si="2"/>
        <v>6</v>
      </c>
      <c r="F22" s="1">
        <f t="shared" si="2"/>
        <v>2</v>
      </c>
      <c r="G22" s="1">
        <v>2</v>
      </c>
      <c r="H22" s="1">
        <v>6</v>
      </c>
      <c r="I22" s="1">
        <f t="shared" si="3"/>
        <v>4</v>
      </c>
    </row>
    <row r="24" spans="2:10" x14ac:dyDescent="0.45">
      <c r="B24" s="8"/>
      <c r="C24" s="4" t="s">
        <v>14</v>
      </c>
      <c r="D24" s="4"/>
      <c r="E24" s="4"/>
      <c r="F24" s="4"/>
    </row>
    <row r="25" spans="2:10" x14ac:dyDescent="0.45">
      <c r="B25" s="9"/>
      <c r="C25" s="4" t="s">
        <v>17</v>
      </c>
      <c r="D25" s="4"/>
      <c r="E25" s="4"/>
      <c r="F25" s="4"/>
    </row>
    <row r="26" spans="2:10" x14ac:dyDescent="0.45">
      <c r="B26" s="10"/>
      <c r="C26" s="4" t="s">
        <v>16</v>
      </c>
      <c r="D26" s="4"/>
      <c r="E26" s="4"/>
      <c r="F26" s="4"/>
    </row>
    <row r="27" spans="2:10" x14ac:dyDescent="0.45">
      <c r="B27" s="11"/>
      <c r="C27" s="4" t="s">
        <v>15</v>
      </c>
      <c r="D27" s="4"/>
      <c r="E27" s="4"/>
      <c r="F27" s="4"/>
    </row>
    <row r="30" spans="2:10" x14ac:dyDescent="0.45">
      <c r="B30" s="16" t="s">
        <v>21</v>
      </c>
      <c r="C30" s="16"/>
      <c r="D30" s="16"/>
      <c r="E30" s="16"/>
      <c r="G30" s="16" t="s">
        <v>18</v>
      </c>
      <c r="H30" s="16"/>
      <c r="I30" s="16"/>
      <c r="J30" s="16"/>
    </row>
    <row r="31" spans="2:10" x14ac:dyDescent="0.45">
      <c r="B31" s="4"/>
      <c r="C31" s="4"/>
      <c r="D31" s="4"/>
      <c r="E31" s="4"/>
      <c r="G31" s="4"/>
      <c r="H31" s="4"/>
      <c r="I31" s="4"/>
      <c r="J31" s="4"/>
    </row>
    <row r="32" spans="2:10" x14ac:dyDescent="0.45">
      <c r="B32" s="16" t="s">
        <v>19</v>
      </c>
      <c r="C32" s="16"/>
      <c r="D32" s="16"/>
      <c r="E32" s="16"/>
      <c r="F32"/>
      <c r="G32" s="16" t="s">
        <v>20</v>
      </c>
      <c r="H32" s="16"/>
      <c r="I32" s="16"/>
      <c r="J32" s="16"/>
    </row>
    <row r="33" spans="2:10" x14ac:dyDescent="0.45">
      <c r="B33" s="16"/>
      <c r="C33" s="16"/>
      <c r="D33" s="16"/>
      <c r="E33" s="16"/>
      <c r="F33"/>
      <c r="G33" s="16"/>
      <c r="H33" s="16"/>
      <c r="I33" s="16"/>
      <c r="J33" s="16"/>
    </row>
    <row r="34" spans="2:10" x14ac:dyDescent="0.45">
      <c r="B34" s="16" t="s">
        <v>22</v>
      </c>
      <c r="C34" s="16"/>
      <c r="D34" s="16"/>
      <c r="E34" s="16"/>
      <c r="F34"/>
      <c r="G34" s="16" t="s">
        <v>26</v>
      </c>
      <c r="H34" s="16"/>
      <c r="I34" s="16"/>
      <c r="J34" s="16"/>
    </row>
    <row r="35" spans="2:10" x14ac:dyDescent="0.45">
      <c r="B35" s="16" t="s">
        <v>23</v>
      </c>
      <c r="C35" s="16"/>
      <c r="D35" s="16"/>
      <c r="E35" s="16"/>
      <c r="F35"/>
      <c r="G35" s="16" t="s">
        <v>27</v>
      </c>
      <c r="H35" s="16"/>
      <c r="I35" s="16"/>
      <c r="J35" s="16"/>
    </row>
    <row r="36" spans="2:10" x14ac:dyDescent="0.45">
      <c r="B36" s="16" t="s">
        <v>24</v>
      </c>
      <c r="C36" s="16"/>
      <c r="D36" s="16"/>
      <c r="E36" s="16"/>
      <c r="F36"/>
      <c r="G36" s="16" t="s">
        <v>28</v>
      </c>
      <c r="H36" s="16"/>
      <c r="I36" s="16"/>
      <c r="J36" s="16"/>
    </row>
    <row r="37" spans="2:10" x14ac:dyDescent="0.45">
      <c r="B37" s="16" t="s">
        <v>25</v>
      </c>
      <c r="C37" s="16"/>
      <c r="D37" s="16"/>
      <c r="E37" s="16"/>
      <c r="F37"/>
      <c r="G37" s="16" t="s">
        <v>29</v>
      </c>
      <c r="H37" s="16"/>
      <c r="I37" s="16"/>
      <c r="J37" s="16"/>
    </row>
    <row r="40" spans="2:10" x14ac:dyDescent="0.45">
      <c r="B40" s="1"/>
      <c r="C40" s="1" t="s">
        <v>4</v>
      </c>
      <c r="D40" s="1" t="s">
        <v>5</v>
      </c>
      <c r="E40" s="1" t="s">
        <v>6</v>
      </c>
      <c r="F40" s="1" t="s">
        <v>7</v>
      </c>
    </row>
    <row r="41" spans="2:10" x14ac:dyDescent="0.45">
      <c r="B41" s="1" t="s">
        <v>0</v>
      </c>
      <c r="C41" s="1">
        <v>2</v>
      </c>
      <c r="D41" s="1">
        <v>8</v>
      </c>
      <c r="E41" s="1">
        <v>10</v>
      </c>
      <c r="F41" s="1">
        <v>5</v>
      </c>
      <c r="G41" s="1">
        <f>SUMPRODUCT(C41:F41, $C$46:$F$46)</f>
        <v>1</v>
      </c>
    </row>
    <row r="42" spans="2:10" x14ac:dyDescent="0.45">
      <c r="B42" s="17" t="s">
        <v>1</v>
      </c>
      <c r="C42" s="1">
        <v>10</v>
      </c>
      <c r="D42" s="1">
        <v>9</v>
      </c>
      <c r="E42" s="1">
        <v>8</v>
      </c>
      <c r="F42" s="1">
        <v>11</v>
      </c>
      <c r="G42" s="1">
        <f t="shared" ref="G42:G44" si="4">SUMPRODUCT(C42:F42, $C$46:$F$46)</f>
        <v>1</v>
      </c>
    </row>
    <row r="43" spans="2:10" x14ac:dyDescent="0.45">
      <c r="B43" s="1" t="s">
        <v>2</v>
      </c>
      <c r="C43" s="1">
        <v>1</v>
      </c>
      <c r="D43" s="1">
        <v>7</v>
      </c>
      <c r="E43" s="1">
        <v>5</v>
      </c>
      <c r="F43" s="1">
        <v>2</v>
      </c>
      <c r="G43" s="1">
        <f t="shared" si="4"/>
        <v>0.5</v>
      </c>
    </row>
    <row r="44" spans="2:10" x14ac:dyDescent="0.45">
      <c r="B44" s="1" t="s">
        <v>3</v>
      </c>
      <c r="C44" s="1">
        <v>8</v>
      </c>
      <c r="D44" s="1">
        <v>5</v>
      </c>
      <c r="E44" s="1">
        <v>4</v>
      </c>
      <c r="F44" s="1">
        <v>9</v>
      </c>
      <c r="G44" s="1">
        <f t="shared" si="4"/>
        <v>0.5714285714285714</v>
      </c>
    </row>
    <row r="46" spans="2:10" x14ac:dyDescent="0.45">
      <c r="B46" s="1" t="s">
        <v>30</v>
      </c>
      <c r="C46" s="1">
        <v>2.3809523809523808E-2</v>
      </c>
      <c r="D46" s="1">
        <v>0</v>
      </c>
      <c r="E46" s="1">
        <v>9.5238095238095233E-2</v>
      </c>
      <c r="F46" s="18">
        <v>0</v>
      </c>
      <c r="G46" s="1">
        <f>SUM(C46:F46)</f>
        <v>0.11904761904761904</v>
      </c>
      <c r="I46" s="29" t="s">
        <v>70</v>
      </c>
    </row>
    <row r="47" spans="2:10" x14ac:dyDescent="0.45">
      <c r="G47" s="1" t="s">
        <v>71</v>
      </c>
      <c r="I47" s="28"/>
    </row>
    <row r="48" spans="2:10" x14ac:dyDescent="0.45">
      <c r="I48" s="27">
        <v>2.3809523809523801E-2</v>
      </c>
    </row>
    <row r="49" spans="2:9" x14ac:dyDescent="0.45">
      <c r="B49" s="1" t="s">
        <v>32</v>
      </c>
      <c r="C49" s="1">
        <f>I48</f>
        <v>2.3809523809523801E-2</v>
      </c>
      <c r="D49" s="1">
        <f>I49</f>
        <v>9.5238095238095247E-2</v>
      </c>
      <c r="E49" s="1">
        <f>I50</f>
        <v>0</v>
      </c>
      <c r="F49" s="18">
        <f>I51</f>
        <v>0</v>
      </c>
      <c r="G49" s="1">
        <f>SUM(C49:F49)</f>
        <v>0.11904761904761904</v>
      </c>
      <c r="I49" s="27">
        <v>9.5238095238095247E-2</v>
      </c>
    </row>
    <row r="50" spans="2:9" x14ac:dyDescent="0.45">
      <c r="G50" s="1" t="s">
        <v>72</v>
      </c>
      <c r="I50" s="27">
        <v>0</v>
      </c>
    </row>
    <row r="51" spans="2:9" x14ac:dyDescent="0.45">
      <c r="I51" s="27">
        <v>0</v>
      </c>
    </row>
    <row r="53" spans="2:9" x14ac:dyDescent="0.45">
      <c r="B53" s="30" t="s">
        <v>73</v>
      </c>
      <c r="C53" s="30">
        <f>1/G46</f>
        <v>8.4</v>
      </c>
    </row>
    <row r="54" spans="2:9" x14ac:dyDescent="0.45">
      <c r="B54" s="1" t="s">
        <v>74</v>
      </c>
      <c r="C54" s="1">
        <f>C46*$C$53</f>
        <v>0.2</v>
      </c>
      <c r="D54" s="1">
        <f t="shared" ref="D54:G54" si="5">D46*$C$53</f>
        <v>0</v>
      </c>
      <c r="E54" s="1">
        <f t="shared" si="5"/>
        <v>0.8</v>
      </c>
      <c r="F54" s="1">
        <f t="shared" si="5"/>
        <v>0</v>
      </c>
      <c r="G54" s="1">
        <f t="shared" si="5"/>
        <v>1</v>
      </c>
    </row>
    <row r="55" spans="2:9" x14ac:dyDescent="0.45">
      <c r="B55" s="1" t="s">
        <v>75</v>
      </c>
      <c r="C55" s="1">
        <f>C49*$C$53</f>
        <v>0.19999999999999993</v>
      </c>
      <c r="D55" s="1">
        <f t="shared" ref="D55:G55" si="6">D49*$C$53</f>
        <v>0.80000000000000016</v>
      </c>
      <c r="E55" s="1">
        <f t="shared" si="6"/>
        <v>0</v>
      </c>
      <c r="F55" s="1">
        <f t="shared" si="6"/>
        <v>0</v>
      </c>
      <c r="G55" s="1">
        <f t="shared" si="6"/>
        <v>1</v>
      </c>
    </row>
    <row r="56" spans="2:9" x14ac:dyDescent="0.45">
      <c r="G56" s="1" t="s">
        <v>31</v>
      </c>
    </row>
  </sheetData>
  <mergeCells count="22">
    <mergeCell ref="I46:I47"/>
    <mergeCell ref="B35:E35"/>
    <mergeCell ref="B36:E36"/>
    <mergeCell ref="B37:E37"/>
    <mergeCell ref="G31:J31"/>
    <mergeCell ref="G32:J32"/>
    <mergeCell ref="G33:J33"/>
    <mergeCell ref="G34:J34"/>
    <mergeCell ref="G35:J35"/>
    <mergeCell ref="G36:J36"/>
    <mergeCell ref="G37:J37"/>
    <mergeCell ref="B30:E30"/>
    <mergeCell ref="G30:J30"/>
    <mergeCell ref="B32:E32"/>
    <mergeCell ref="B31:E31"/>
    <mergeCell ref="B33:E33"/>
    <mergeCell ref="B34:E34"/>
    <mergeCell ref="G15:I15"/>
    <mergeCell ref="C24:F24"/>
    <mergeCell ref="C25:F25"/>
    <mergeCell ref="C26:F26"/>
    <mergeCell ref="C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Отчет об устойчивости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Ушаков</dc:creator>
  <cp:lastModifiedBy>Александр Ушаков</cp:lastModifiedBy>
  <dcterms:created xsi:type="dcterms:W3CDTF">2015-06-05T18:17:20Z</dcterms:created>
  <dcterms:modified xsi:type="dcterms:W3CDTF">2025-10-05T16:34:56Z</dcterms:modified>
</cp:coreProperties>
</file>