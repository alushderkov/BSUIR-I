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bsuir\mp6\"/>
    </mc:Choice>
  </mc:AlternateContent>
  <xr:revisionPtr revIDLastSave="0" documentId="13_ncr:1_{0DF4FECD-8BD4-4C6E-82BA-B41AC8FD3434}" xr6:coauthVersionLast="47" xr6:coauthVersionMax="47" xr10:uidLastSave="{00000000-0000-0000-0000-000000000000}"/>
  <bookViews>
    <workbookView xWindow="-98" yWindow="-98" windowWidth="19396" windowHeight="11475" xr2:uid="{00000000-000D-0000-FFFF-FFFF00000000}"/>
  </bookViews>
  <sheets>
    <sheet name="Sheet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166" i="1" l="1"/>
  <c r="I165" i="1"/>
  <c r="G165" i="1" s="1"/>
  <c r="I164" i="1"/>
  <c r="G164" i="1" s="1"/>
  <c r="I163" i="1"/>
  <c r="G163" i="1" s="1"/>
  <c r="I162" i="1"/>
  <c r="G162" i="1" s="1"/>
  <c r="I161" i="1"/>
  <c r="G161" i="1"/>
  <c r="I160" i="1"/>
  <c r="G160" i="1" s="1"/>
  <c r="I159" i="1"/>
  <c r="G159" i="1"/>
  <c r="I158" i="1"/>
  <c r="G158" i="1"/>
  <c r="E133" i="1"/>
  <c r="E132" i="1"/>
  <c r="E131" i="1"/>
  <c r="E130" i="1"/>
  <c r="E129" i="1"/>
  <c r="E128" i="1"/>
  <c r="K103" i="1"/>
  <c r="J103" i="1"/>
  <c r="I103" i="1"/>
  <c r="H103" i="1"/>
  <c r="E103" i="1"/>
  <c r="F103" i="1" s="1"/>
  <c r="C103" i="1"/>
  <c r="D103" i="1" s="1"/>
  <c r="K102" i="1"/>
  <c r="J102" i="1"/>
  <c r="I102" i="1"/>
  <c r="H102" i="1"/>
  <c r="E102" i="1"/>
  <c r="F102" i="1" s="1"/>
  <c r="D102" i="1"/>
  <c r="C102" i="1"/>
  <c r="K101" i="1"/>
  <c r="J101" i="1"/>
  <c r="I101" i="1"/>
  <c r="H101" i="1"/>
  <c r="E101" i="1"/>
  <c r="F101" i="1" s="1"/>
  <c r="C101" i="1"/>
  <c r="D101" i="1" s="1"/>
  <c r="K100" i="1"/>
  <c r="J100" i="1"/>
  <c r="I100" i="1"/>
  <c r="H100" i="1"/>
  <c r="E100" i="1"/>
  <c r="F100" i="1" s="1"/>
  <c r="C100" i="1"/>
  <c r="D100" i="1" s="1"/>
  <c r="K99" i="1"/>
  <c r="J99" i="1"/>
  <c r="I99" i="1"/>
  <c r="H99" i="1"/>
  <c r="E99" i="1"/>
  <c r="F99" i="1" s="1"/>
  <c r="C99" i="1"/>
  <c r="D99" i="1" s="1"/>
  <c r="K98" i="1"/>
  <c r="J98" i="1"/>
  <c r="I98" i="1"/>
  <c r="H98" i="1"/>
  <c r="E98" i="1"/>
  <c r="F98" i="1" s="1"/>
  <c r="C98" i="1"/>
  <c r="D98" i="1" s="1"/>
  <c r="K97" i="1"/>
  <c r="J97" i="1"/>
  <c r="I97" i="1"/>
  <c r="H97" i="1"/>
  <c r="E97" i="1"/>
  <c r="F97" i="1" s="1"/>
  <c r="C97" i="1"/>
  <c r="D97" i="1" s="1"/>
  <c r="K96" i="1"/>
  <c r="J96" i="1"/>
  <c r="I96" i="1"/>
  <c r="H96" i="1"/>
  <c r="E96" i="1"/>
  <c r="F96" i="1" s="1"/>
  <c r="C96" i="1"/>
  <c r="D96" i="1" s="1"/>
  <c r="K95" i="1"/>
  <c r="J95" i="1"/>
  <c r="I95" i="1"/>
  <c r="H95" i="1"/>
  <c r="E95" i="1"/>
  <c r="F95" i="1" s="1"/>
  <c r="C95" i="1"/>
  <c r="D95" i="1" s="1"/>
  <c r="K94" i="1"/>
  <c r="J94" i="1"/>
  <c r="I94" i="1"/>
  <c r="H94" i="1"/>
  <c r="E94" i="1"/>
  <c r="F94" i="1" s="1"/>
  <c r="C94" i="1"/>
  <c r="D94" i="1" s="1"/>
  <c r="E90" i="1"/>
  <c r="E89" i="1"/>
  <c r="E88" i="1"/>
  <c r="E87" i="1"/>
  <c r="E86" i="1"/>
  <c r="E85" i="1"/>
  <c r="H81" i="1"/>
  <c r="I80" i="1"/>
  <c r="G80" i="1"/>
  <c r="I79" i="1"/>
  <c r="G79" i="1" s="1"/>
  <c r="I78" i="1"/>
  <c r="G78" i="1" s="1"/>
  <c r="I77" i="1"/>
  <c r="G77" i="1" s="1"/>
  <c r="I76" i="1"/>
  <c r="G76" i="1"/>
  <c r="I75" i="1"/>
  <c r="G75" i="1" s="1"/>
  <c r="I74" i="1"/>
  <c r="G74" i="1" s="1"/>
  <c r="I73" i="1"/>
  <c r="G73" i="1"/>
  <c r="I72" i="1"/>
  <c r="G72" i="1"/>
  <c r="I71" i="1"/>
  <c r="G71" i="1"/>
  <c r="K22" i="1"/>
  <c r="K21" i="1"/>
  <c r="K20" i="1"/>
  <c r="K19" i="1"/>
  <c r="K18" i="1"/>
  <c r="K17" i="1"/>
  <c r="K16" i="1"/>
  <c r="K15" i="1"/>
  <c r="K14" i="1"/>
  <c r="K13" i="1"/>
  <c r="J22" i="1"/>
  <c r="J21" i="1"/>
  <c r="J20" i="1"/>
  <c r="J19" i="1"/>
  <c r="J18" i="1"/>
  <c r="J17" i="1"/>
  <c r="J16" i="1"/>
  <c r="J15" i="1"/>
  <c r="J14" i="1"/>
  <c r="J13" i="1"/>
  <c r="I22" i="1"/>
  <c r="I21" i="1"/>
  <c r="I20" i="1"/>
  <c r="I19" i="1"/>
  <c r="I18" i="1"/>
  <c r="I17" i="1"/>
  <c r="I16" i="1"/>
  <c r="I15" i="1"/>
  <c r="I14" i="1"/>
  <c r="I13" i="1"/>
  <c r="H22" i="1"/>
  <c r="H21" i="1"/>
  <c r="H20" i="1"/>
  <c r="H19" i="1"/>
  <c r="H18" i="1"/>
  <c r="H17" i="1"/>
  <c r="H16" i="1"/>
  <c r="H15" i="1"/>
  <c r="H14" i="1"/>
  <c r="H13" i="1"/>
  <c r="F17" i="1"/>
  <c r="F18" i="1"/>
  <c r="F19" i="1"/>
  <c r="F21" i="1"/>
  <c r="D17" i="1"/>
  <c r="D18" i="1"/>
  <c r="D19" i="1"/>
  <c r="D20" i="1"/>
  <c r="D21" i="1"/>
  <c r="E22" i="1"/>
  <c r="F22" i="1" s="1"/>
  <c r="E21" i="1"/>
  <c r="E20" i="1"/>
  <c r="F20" i="1" s="1"/>
  <c r="E19" i="1"/>
  <c r="E18" i="1"/>
  <c r="E17" i="1"/>
  <c r="E16" i="1"/>
  <c r="F16" i="1" s="1"/>
  <c r="E15" i="1"/>
  <c r="F15" i="1" s="1"/>
  <c r="E14" i="1"/>
  <c r="F14" i="1" s="1"/>
  <c r="E13" i="1"/>
  <c r="F13" i="1" s="1"/>
  <c r="C22" i="1"/>
  <c r="D22" i="1" s="1"/>
  <c r="C21" i="1"/>
  <c r="C20" i="1"/>
  <c r="C19" i="1"/>
  <c r="C18" i="1"/>
  <c r="C17" i="1"/>
  <c r="C16" i="1"/>
  <c r="D16" i="1" s="1"/>
  <c r="C15" i="1"/>
  <c r="D15" i="1" s="1"/>
  <c r="C14" i="1"/>
  <c r="D14" i="1" s="1"/>
  <c r="C13" i="1"/>
  <c r="D13" i="1" s="1"/>
  <c r="E9" i="1"/>
  <c r="E8" i="1"/>
  <c r="E7" i="1"/>
  <c r="E6" i="1"/>
  <c r="E5" i="1"/>
  <c r="E4" i="1"/>
</calcChain>
</file>

<file path=xl/sharedStrings.xml><?xml version="1.0" encoding="utf-8"?>
<sst xmlns="http://schemas.openxmlformats.org/spreadsheetml/2006/main" count="200" uniqueCount="129">
  <si>
    <t>R(i)</t>
  </si>
  <si>
    <t>t(ij)</t>
  </si>
  <si>
    <t>1-2</t>
  </si>
  <si>
    <t>1-3</t>
  </si>
  <si>
    <t>1-4</t>
  </si>
  <si>
    <t>2-4</t>
  </si>
  <si>
    <t>2-5</t>
  </si>
  <si>
    <t>3-4</t>
  </si>
  <si>
    <t>3-6</t>
  </si>
  <si>
    <t>4-5</t>
  </si>
  <si>
    <t>4-6</t>
  </si>
  <si>
    <t>5-6</t>
  </si>
  <si>
    <t>f = x12 + x13 + x14 + x24 + x25 + x34 + x36 + x45 + x46 + x56 -&gt; min</t>
  </si>
  <si>
    <t>to36 &lt;= 60</t>
  </si>
  <si>
    <t>to46 &lt;= 60</t>
  </si>
  <si>
    <t>to56 &lt;= 60</t>
  </si>
  <si>
    <t>to12 - tн12 &gt;= 16</t>
  </si>
  <si>
    <t>to12 - tн12 = 19 - 0.25*x12</t>
  </si>
  <si>
    <t>tн12 = 0</t>
  </si>
  <si>
    <t>tн12 &gt;= 0</t>
  </si>
  <si>
    <t>to12 &gt;= 0</t>
  </si>
  <si>
    <t>x12 &gt;= 0</t>
  </si>
  <si>
    <t>to13 - tн13 &gt;= 5</t>
  </si>
  <si>
    <t>to13 - tн13 = 10 - 0.07*x13</t>
  </si>
  <si>
    <t>tн13 = 0</t>
  </si>
  <si>
    <t>tн13 &gt;= 0</t>
  </si>
  <si>
    <t>to13 &gt;= 0</t>
  </si>
  <si>
    <t>x13 &gt;= 0</t>
  </si>
  <si>
    <t>to14 - tн14 &gt;= 25</t>
  </si>
  <si>
    <t>to14 - tн14 = 35 - 0.1*x14</t>
  </si>
  <si>
    <t>tн14 = 0</t>
  </si>
  <si>
    <t>tн14 &gt;= 0</t>
  </si>
  <si>
    <t>to14 &gt;= 0</t>
  </si>
  <si>
    <t>x14 &gt;= 0</t>
  </si>
  <si>
    <t>to24 - tн24 &gt;= 13</t>
  </si>
  <si>
    <t>to24 - tн24 = 18 - 0.2*x24</t>
  </si>
  <si>
    <t>tн24 &gt;= to12</t>
  </si>
  <si>
    <t xml:space="preserve"> tн24 &gt;= 0</t>
  </si>
  <si>
    <t>to24 &gt;= 0</t>
  </si>
  <si>
    <t>x24 &gt;= 0</t>
  </si>
  <si>
    <t>to25 - tн25 &gt;= 15</t>
  </si>
  <si>
    <t>to25 - tн25 = 20 - 0.13*x25</t>
  </si>
  <si>
    <t>tн25 &gt;= to12</t>
  </si>
  <si>
    <t>tн25 &gt;= 0</t>
  </si>
  <si>
    <t>to25 &gt;= 0</t>
  </si>
  <si>
    <t>x25 &gt;= 0</t>
  </si>
  <si>
    <t>to34 - tн34 &gt;= 6</t>
  </si>
  <si>
    <t>to34 - tн34 = 9 - 0.15*x34</t>
  </si>
  <si>
    <t>tн34 &gt;= to13</t>
  </si>
  <si>
    <t>tн34 &gt;= 0</t>
  </si>
  <si>
    <t>to34 &gt;= 0</t>
  </si>
  <si>
    <t>x34 &gt;= 0</t>
  </si>
  <si>
    <t>to36 - tн36 &gt;= 17</t>
  </si>
  <si>
    <t>to36 - tн36 = 22 - 0.06*x36</t>
  </si>
  <si>
    <t>tн36 &gt;= to13</t>
  </si>
  <si>
    <t>tн36 &gt;= 0</t>
  </si>
  <si>
    <t>to36 &gt;= 0</t>
  </si>
  <si>
    <t>x36 &gt;= 0</t>
  </si>
  <si>
    <t>to45 - tн45 &gt;= 13</t>
  </si>
  <si>
    <t>to45 - tн45 = 17 - 0.4*x45</t>
  </si>
  <si>
    <t>tн45 &gt;= to14</t>
  </si>
  <si>
    <t>tн45 &gt;= 0</t>
  </si>
  <si>
    <t>to45 &gt;= 0</t>
  </si>
  <si>
    <t>x45 &gt;= 0</t>
  </si>
  <si>
    <t>to46 - tн46 &gt;= 16</t>
  </si>
  <si>
    <t>to46 - tн46 = 20 - 0.2*x46</t>
  </si>
  <si>
    <t>tн45 &gt;= to24</t>
  </si>
  <si>
    <t>tн46 &gt;= 0</t>
  </si>
  <si>
    <t>to46 &gt;= 0</t>
  </si>
  <si>
    <t>x46 &gt;= 0</t>
  </si>
  <si>
    <t>to56 - tн56 &gt;= 14</t>
  </si>
  <si>
    <t>to56 - tн56 = 18 - 0.1*x56</t>
  </si>
  <si>
    <t>tн45 &gt;= to34</t>
  </si>
  <si>
    <t>tн56 &gt;= 0</t>
  </si>
  <si>
    <t>to56 &gt;= 0</t>
  </si>
  <si>
    <t>x56 &gt;= 0</t>
  </si>
  <si>
    <t>tн46 &gt;= to14</t>
  </si>
  <si>
    <t>tн46 &gt;= to24</t>
  </si>
  <si>
    <t>tн46 &gt;= to34</t>
  </si>
  <si>
    <t>tн56 &gt;= to45</t>
  </si>
  <si>
    <t>tн56 &gt;= to26</t>
  </si>
  <si>
    <t>d(ij)</t>
  </si>
  <si>
    <t>k(ij)</t>
  </si>
  <si>
    <t>x(ij)</t>
  </si>
  <si>
    <r>
      <t>t</t>
    </r>
    <r>
      <rPr>
        <sz val="8"/>
        <color theme="1"/>
        <rFont val="Calibri"/>
        <family val="2"/>
        <scheme val="minor"/>
      </rPr>
      <t>p</t>
    </r>
    <r>
      <rPr>
        <sz val="11"/>
        <color theme="1"/>
        <rFont val="Calibri"/>
        <family val="2"/>
        <scheme val="minor"/>
      </rPr>
      <t>(i)</t>
    </r>
  </si>
  <si>
    <r>
      <t>t</t>
    </r>
    <r>
      <rPr>
        <sz val="8"/>
        <rFont val="Calibri"/>
        <family val="2"/>
        <scheme val="minor"/>
      </rPr>
      <t>п</t>
    </r>
    <r>
      <rPr>
        <sz val="11"/>
        <color theme="1"/>
        <rFont val="Calibri"/>
        <family val="2"/>
        <scheme val="minor"/>
      </rPr>
      <t>(i)</t>
    </r>
  </si>
  <si>
    <r>
      <t>t</t>
    </r>
    <r>
      <rPr>
        <sz val="8"/>
        <color theme="1"/>
        <rFont val="Calibri"/>
        <family val="2"/>
        <scheme val="minor"/>
      </rPr>
      <t>pн</t>
    </r>
    <r>
      <rPr>
        <sz val="11"/>
        <color theme="1"/>
        <rFont val="Calibri"/>
        <family val="2"/>
        <scheme val="minor"/>
      </rPr>
      <t>(ij)</t>
    </r>
  </si>
  <si>
    <r>
      <t>t</t>
    </r>
    <r>
      <rPr>
        <sz val="8"/>
        <color theme="1"/>
        <rFont val="Calibri"/>
        <family val="2"/>
        <scheme val="minor"/>
      </rPr>
      <t>ро</t>
    </r>
    <r>
      <rPr>
        <sz val="11"/>
        <color theme="1"/>
        <rFont val="Calibri"/>
        <family val="2"/>
        <scheme val="minor"/>
      </rPr>
      <t>(ij)</t>
    </r>
  </si>
  <si>
    <r>
      <t>t</t>
    </r>
    <r>
      <rPr>
        <sz val="8"/>
        <color theme="1"/>
        <rFont val="Calibri"/>
        <family val="2"/>
        <scheme val="minor"/>
      </rPr>
      <t>по</t>
    </r>
    <r>
      <rPr>
        <sz val="11"/>
        <color theme="1"/>
        <rFont val="Calibri"/>
        <family val="2"/>
        <scheme val="minor"/>
      </rPr>
      <t>(ij)</t>
    </r>
  </si>
  <si>
    <r>
      <t>t</t>
    </r>
    <r>
      <rPr>
        <sz val="8"/>
        <color theme="1"/>
        <rFont val="Calibri"/>
        <family val="2"/>
        <scheme val="minor"/>
      </rPr>
      <t>пн</t>
    </r>
    <r>
      <rPr>
        <sz val="11"/>
        <color theme="1"/>
        <rFont val="Calibri"/>
        <family val="2"/>
        <scheme val="minor"/>
      </rPr>
      <t>(ij)</t>
    </r>
  </si>
  <si>
    <r>
      <t>R</t>
    </r>
    <r>
      <rPr>
        <sz val="8"/>
        <color theme="1"/>
        <rFont val="Calibri"/>
        <family val="2"/>
        <scheme val="minor"/>
      </rPr>
      <t>п</t>
    </r>
    <r>
      <rPr>
        <sz val="11"/>
        <color theme="1"/>
        <rFont val="Calibri"/>
        <family val="2"/>
        <scheme val="minor"/>
      </rPr>
      <t>(ij)</t>
    </r>
  </si>
  <si>
    <r>
      <t>R</t>
    </r>
    <r>
      <rPr>
        <sz val="8"/>
        <color theme="1"/>
        <rFont val="Calibri"/>
        <family val="2"/>
        <scheme val="minor"/>
      </rPr>
      <t>н</t>
    </r>
    <r>
      <rPr>
        <sz val="11"/>
        <color theme="1"/>
        <rFont val="Calibri"/>
        <family val="2"/>
        <scheme val="minor"/>
      </rPr>
      <t>(ij)</t>
    </r>
  </si>
  <si>
    <r>
      <t>R</t>
    </r>
    <r>
      <rPr>
        <sz val="8"/>
        <color theme="1"/>
        <rFont val="Calibri"/>
        <family val="2"/>
        <scheme val="minor"/>
      </rPr>
      <t>ч1</t>
    </r>
    <r>
      <rPr>
        <sz val="11"/>
        <color theme="1"/>
        <rFont val="Calibri"/>
        <family val="2"/>
        <scheme val="minor"/>
      </rPr>
      <t>(ij)</t>
    </r>
  </si>
  <si>
    <r>
      <t>R</t>
    </r>
    <r>
      <rPr>
        <sz val="8"/>
        <color theme="1"/>
        <rFont val="Calibri"/>
        <family val="2"/>
        <scheme val="minor"/>
      </rPr>
      <t>ч2</t>
    </r>
    <r>
      <rPr>
        <sz val="11"/>
        <color theme="1"/>
        <rFont val="Calibri"/>
        <family val="2"/>
        <scheme val="minor"/>
      </rPr>
      <t>(ij)</t>
    </r>
  </si>
  <si>
    <r>
      <t>t</t>
    </r>
    <r>
      <rPr>
        <sz val="8"/>
        <color theme="1"/>
        <rFont val="Calibri"/>
        <family val="2"/>
        <scheme val="minor"/>
      </rPr>
      <t>н</t>
    </r>
    <r>
      <rPr>
        <sz val="11"/>
        <color theme="1"/>
        <rFont val="Calibri"/>
        <family val="2"/>
        <scheme val="minor"/>
      </rPr>
      <t>(ij)</t>
    </r>
  </si>
  <si>
    <r>
      <t>t</t>
    </r>
    <r>
      <rPr>
        <sz val="8"/>
        <color theme="1"/>
        <rFont val="Calibri"/>
        <family val="2"/>
        <scheme val="minor"/>
      </rPr>
      <t>o</t>
    </r>
    <r>
      <rPr>
        <sz val="11"/>
        <color theme="1"/>
        <rFont val="Calibri"/>
        <family val="2"/>
        <scheme val="minor"/>
      </rPr>
      <t>(ij)</t>
    </r>
  </si>
  <si>
    <r>
      <t>t</t>
    </r>
    <r>
      <rPr>
        <sz val="8"/>
        <color theme="1"/>
        <rFont val="Calibri"/>
        <family val="2"/>
        <scheme val="minor"/>
      </rPr>
      <t>o</t>
    </r>
    <r>
      <rPr>
        <sz val="11"/>
        <color theme="1"/>
        <rFont val="Calibri"/>
        <family val="2"/>
        <scheme val="minor"/>
      </rPr>
      <t>(ij) - t</t>
    </r>
    <r>
      <rPr>
        <sz val="8"/>
        <color theme="1"/>
        <rFont val="Calibri"/>
        <family val="2"/>
        <scheme val="minor"/>
      </rPr>
      <t>н</t>
    </r>
    <r>
      <rPr>
        <sz val="11"/>
        <color theme="1"/>
        <rFont val="Calibri"/>
        <family val="2"/>
        <scheme val="minor"/>
      </rPr>
      <t>(ij)</t>
    </r>
  </si>
  <si>
    <r>
      <t>t</t>
    </r>
    <r>
      <rPr>
        <sz val="8"/>
        <color theme="1"/>
        <rFont val="Calibri"/>
        <family val="2"/>
        <scheme val="minor"/>
      </rPr>
      <t>п</t>
    </r>
    <r>
      <rPr>
        <sz val="11"/>
        <color theme="1"/>
        <rFont val="Calibri"/>
        <family val="2"/>
        <scheme val="minor"/>
      </rPr>
      <t>(i)</t>
    </r>
  </si>
  <si>
    <t>to56 -&gt; min</t>
  </si>
  <si>
    <t>x12 + x13 + x14 + x23 + x34 + x35 + x45 &lt;= 49</t>
  </si>
  <si>
    <t>to12 - tн12 &gt;= 10</t>
  </si>
  <si>
    <t>to12 - tн12 = 13 - 0.3*x12</t>
  </si>
  <si>
    <t>to1 &gt;= 0</t>
  </si>
  <si>
    <t>to13 - tн13 &gt;= 18</t>
  </si>
  <si>
    <t>to13 - tн13 = 22 - 0.1*x13</t>
  </si>
  <si>
    <t>to14 - tн14 &gt;= 15</t>
  </si>
  <si>
    <t>to14 - tн14 =19 - 0,05*x14</t>
  </si>
  <si>
    <t>to23 - tн23 &gt;= 14</t>
  </si>
  <si>
    <t>to23 - tн23 = 17 - 0.2*x23</t>
  </si>
  <si>
    <t>tн23 &gt;= to12</t>
  </si>
  <si>
    <t>tн23 &gt;= 0</t>
  </si>
  <si>
    <t>to23 &gt;= 0</t>
  </si>
  <si>
    <t>x23 &gt;= 0</t>
  </si>
  <si>
    <t>to34 - tн34 &gt;= 7</t>
  </si>
  <si>
    <t>to34 - tн34 = 10 - 0.4*x34</t>
  </si>
  <si>
    <t>to35 - tн35 &gt;= 21</t>
  </si>
  <si>
    <t>to35 - tн35 = 25 - 0.2*x35</t>
  </si>
  <si>
    <t>tн34 &gt;= to23</t>
  </si>
  <si>
    <t>tн35 &gt;= 0</t>
  </si>
  <si>
    <t>to35 &gt;= 0</t>
  </si>
  <si>
    <t>x35 &gt;= 0</t>
  </si>
  <si>
    <t>to45 - tн45 &gt;= 9</t>
  </si>
  <si>
    <t>to45 - tн45 = 12 - 0.25*x45</t>
  </si>
  <si>
    <t>tн35 &gt;= to13</t>
  </si>
  <si>
    <t>to56 - tн56 = 0</t>
  </si>
  <si>
    <t>tн35 &gt;= to23</t>
  </si>
  <si>
    <t>tн56 &gt;= to35</t>
  </si>
  <si>
    <t>2-3</t>
  </si>
  <si>
    <t>3-5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</si>
</sst>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8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" fillId="0" borderId="0"/>
  </cellStyleXfs>
  <cellXfs count="63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0" xfId="0" applyBorder="1"/>
    <xf numFmtId="0" fontId="0" fillId="0" borderId="1" xfId="0" applyBorder="1" applyAlignment="1">
      <alignment horizontal="center"/>
    </xf>
    <xf numFmtId="49" fontId="0" fillId="0" borderId="6" xfId="0" applyNumberFormat="1" applyBorder="1" applyAlignment="1">
      <alignment horizontal="center" vertical="center"/>
    </xf>
    <xf numFmtId="49" fontId="0" fillId="0" borderId="8" xfId="0" applyNumberFormat="1" applyBorder="1" applyAlignment="1">
      <alignment horizontal="center" vertic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14" xfId="0" applyBorder="1"/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0" fillId="0" borderId="21" xfId="0" applyBorder="1"/>
    <xf numFmtId="0" fontId="0" fillId="0" borderId="1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49" fontId="0" fillId="0" borderId="6" xfId="0" applyNumberFormat="1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22" xfId="0" applyBorder="1" applyAlignment="1">
      <alignment horizontal="center" vertical="center" wrapText="1"/>
    </xf>
    <xf numFmtId="0" fontId="0" fillId="0" borderId="23" xfId="0" applyBorder="1" applyAlignment="1">
      <alignment horizontal="center" vertical="center" wrapText="1"/>
    </xf>
    <xf numFmtId="0" fontId="0" fillId="0" borderId="24" xfId="0" applyBorder="1" applyAlignment="1">
      <alignment horizontal="center" vertical="center" wrapText="1"/>
    </xf>
    <xf numFmtId="1" fontId="0" fillId="0" borderId="1" xfId="0" applyNumberFormat="1" applyBorder="1" applyAlignment="1">
      <alignment horizontal="center" vertical="center"/>
    </xf>
    <xf numFmtId="1" fontId="0" fillId="0" borderId="7" xfId="0" applyNumberFormat="1" applyBorder="1" applyAlignment="1">
      <alignment horizontal="center" vertical="center"/>
    </xf>
    <xf numFmtId="1" fontId="0" fillId="0" borderId="9" xfId="0" applyNumberFormat="1" applyBorder="1" applyAlignment="1">
      <alignment horizontal="center" vertical="center"/>
    </xf>
    <xf numFmtId="1" fontId="0" fillId="0" borderId="10" xfId="0" applyNumberForma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49" fontId="0" fillId="0" borderId="25" xfId="0" applyNumberFormat="1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22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24" xfId="0" applyBorder="1" applyAlignment="1">
      <alignment horizontal="center"/>
    </xf>
  </cellXfs>
  <cellStyles count="2">
    <cellStyle name="Обычный" xfId="0" builtinId="0"/>
    <cellStyle name="Обычный 2" xfId="1" xr:uid="{F164B198-6DE3-41D5-992E-848DB692F0F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Линейный график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v>Время до начала работы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[1]З1!$A$31:$A$40</c:f>
              <c:strCache>
                <c:ptCount val="10"/>
                <c:pt idx="0">
                  <c:v>1-2</c:v>
                </c:pt>
                <c:pt idx="1">
                  <c:v>1-3</c:v>
                </c:pt>
                <c:pt idx="2">
                  <c:v>1-4</c:v>
                </c:pt>
                <c:pt idx="3">
                  <c:v>2-4</c:v>
                </c:pt>
                <c:pt idx="4">
                  <c:v>2-5</c:v>
                </c:pt>
                <c:pt idx="5">
                  <c:v>3-4</c:v>
                </c:pt>
                <c:pt idx="6">
                  <c:v>3-6</c:v>
                </c:pt>
                <c:pt idx="7">
                  <c:v>4-5</c:v>
                </c:pt>
                <c:pt idx="8">
                  <c:v>4-6</c:v>
                </c:pt>
                <c:pt idx="9">
                  <c:v>5-6</c:v>
                </c:pt>
              </c:strCache>
            </c:strRef>
          </c:cat>
          <c:val>
            <c:numRef>
              <c:f>[1]З1!$B$31:$B$40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19</c:v>
                </c:pt>
                <c:pt idx="4">
                  <c:v>19</c:v>
                </c:pt>
                <c:pt idx="5">
                  <c:v>10</c:v>
                </c:pt>
                <c:pt idx="6">
                  <c:v>10</c:v>
                </c:pt>
                <c:pt idx="7">
                  <c:v>37</c:v>
                </c:pt>
                <c:pt idx="8">
                  <c:v>37</c:v>
                </c:pt>
                <c:pt idx="9">
                  <c:v>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E36-470B-9718-B50141E3AEE0}"/>
            </c:ext>
          </c:extLst>
        </c:ser>
        <c:ser>
          <c:idx val="1"/>
          <c:order val="1"/>
          <c:tx>
            <c:v>Продолжительность работы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[1]З1!$A$31:$A$40</c:f>
              <c:strCache>
                <c:ptCount val="10"/>
                <c:pt idx="0">
                  <c:v>1-2</c:v>
                </c:pt>
                <c:pt idx="1">
                  <c:v>1-3</c:v>
                </c:pt>
                <c:pt idx="2">
                  <c:v>1-4</c:v>
                </c:pt>
                <c:pt idx="3">
                  <c:v>2-4</c:v>
                </c:pt>
                <c:pt idx="4">
                  <c:v>2-5</c:v>
                </c:pt>
                <c:pt idx="5">
                  <c:v>3-4</c:v>
                </c:pt>
                <c:pt idx="6">
                  <c:v>3-6</c:v>
                </c:pt>
                <c:pt idx="7">
                  <c:v>4-5</c:v>
                </c:pt>
                <c:pt idx="8">
                  <c:v>4-6</c:v>
                </c:pt>
                <c:pt idx="9">
                  <c:v>5-6</c:v>
                </c:pt>
              </c:strCache>
            </c:strRef>
          </c:cat>
          <c:val>
            <c:numRef>
              <c:f>[1]З1!$F$31:$F$40</c:f>
              <c:numCache>
                <c:formatCode>General</c:formatCode>
                <c:ptCount val="10"/>
                <c:pt idx="0">
                  <c:v>19</c:v>
                </c:pt>
                <c:pt idx="1">
                  <c:v>10</c:v>
                </c:pt>
                <c:pt idx="2">
                  <c:v>35</c:v>
                </c:pt>
                <c:pt idx="3">
                  <c:v>18</c:v>
                </c:pt>
                <c:pt idx="4">
                  <c:v>20</c:v>
                </c:pt>
                <c:pt idx="5">
                  <c:v>9</c:v>
                </c:pt>
                <c:pt idx="6">
                  <c:v>22</c:v>
                </c:pt>
                <c:pt idx="7">
                  <c:v>17</c:v>
                </c:pt>
                <c:pt idx="8">
                  <c:v>20</c:v>
                </c:pt>
                <c:pt idx="9">
                  <c:v>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E36-470B-9718-B50141E3AEE0}"/>
            </c:ext>
          </c:extLst>
        </c:ser>
        <c:ser>
          <c:idx val="2"/>
          <c:order val="2"/>
          <c:tx>
            <c:v>Резерв</c:v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[1]З1!$A$31:$A$40</c:f>
              <c:strCache>
                <c:ptCount val="10"/>
                <c:pt idx="0">
                  <c:v>1-2</c:v>
                </c:pt>
                <c:pt idx="1">
                  <c:v>1-3</c:v>
                </c:pt>
                <c:pt idx="2">
                  <c:v>1-4</c:v>
                </c:pt>
                <c:pt idx="3">
                  <c:v>2-4</c:v>
                </c:pt>
                <c:pt idx="4">
                  <c:v>2-5</c:v>
                </c:pt>
                <c:pt idx="5">
                  <c:v>3-4</c:v>
                </c:pt>
                <c:pt idx="6">
                  <c:v>3-6</c:v>
                </c:pt>
                <c:pt idx="7">
                  <c:v>4-5</c:v>
                </c:pt>
                <c:pt idx="8">
                  <c:v>4-6</c:v>
                </c:pt>
                <c:pt idx="9">
                  <c:v>5-6</c:v>
                </c:pt>
              </c:strCache>
            </c:strRef>
          </c:cat>
          <c:val>
            <c:numRef>
              <c:f>[1]З1!$G$31:$G$40</c:f>
              <c:numCache>
                <c:formatCode>General</c:formatCode>
                <c:ptCount val="10"/>
                <c:pt idx="0">
                  <c:v>0</c:v>
                </c:pt>
                <c:pt idx="1">
                  <c:v>18</c:v>
                </c:pt>
                <c:pt idx="2">
                  <c:v>2</c:v>
                </c:pt>
                <c:pt idx="3">
                  <c:v>0</c:v>
                </c:pt>
                <c:pt idx="4">
                  <c:v>15</c:v>
                </c:pt>
                <c:pt idx="5">
                  <c:v>18</c:v>
                </c:pt>
                <c:pt idx="6">
                  <c:v>40</c:v>
                </c:pt>
                <c:pt idx="7">
                  <c:v>0</c:v>
                </c:pt>
                <c:pt idx="8">
                  <c:v>15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E36-470B-9718-B50141E3AE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346085360"/>
        <c:axId val="1341008448"/>
      </c:barChart>
      <c:catAx>
        <c:axId val="13460853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Работы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341008448"/>
        <c:crosses val="autoZero"/>
        <c:auto val="1"/>
        <c:lblAlgn val="ctr"/>
        <c:lblOffset val="100"/>
        <c:noMultiLvlLbl val="0"/>
      </c:catAx>
      <c:valAx>
        <c:axId val="13410084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Время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3460853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Линейный</a:t>
            </a:r>
            <a:r>
              <a:rPr lang="ru-RU" baseline="0"/>
              <a:t> график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v>Время до начала работы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[1]З1!$A$123:$A$132</c:f>
              <c:strCache>
                <c:ptCount val="10"/>
                <c:pt idx="0">
                  <c:v>1-2</c:v>
                </c:pt>
                <c:pt idx="1">
                  <c:v>1-3</c:v>
                </c:pt>
                <c:pt idx="2">
                  <c:v>1-4</c:v>
                </c:pt>
                <c:pt idx="3">
                  <c:v>2-4</c:v>
                </c:pt>
                <c:pt idx="4">
                  <c:v>2-5</c:v>
                </c:pt>
                <c:pt idx="5">
                  <c:v>3-4</c:v>
                </c:pt>
                <c:pt idx="6">
                  <c:v>3-6</c:v>
                </c:pt>
                <c:pt idx="7">
                  <c:v>4-5</c:v>
                </c:pt>
                <c:pt idx="8">
                  <c:v>4-6</c:v>
                </c:pt>
                <c:pt idx="9">
                  <c:v>5-6</c:v>
                </c:pt>
              </c:strCache>
            </c:strRef>
          </c:cat>
          <c:val>
            <c:numRef>
              <c:f>[1]З1!$B$123:$B$132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16</c:v>
                </c:pt>
                <c:pt idx="4">
                  <c:v>16</c:v>
                </c:pt>
                <c:pt idx="5">
                  <c:v>10</c:v>
                </c:pt>
                <c:pt idx="6">
                  <c:v>10</c:v>
                </c:pt>
                <c:pt idx="7">
                  <c:v>33</c:v>
                </c:pt>
                <c:pt idx="8">
                  <c:v>33</c:v>
                </c:pt>
                <c:pt idx="9">
                  <c:v>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2A5-463F-B3FB-E01081E2E47F}"/>
            </c:ext>
          </c:extLst>
        </c:ser>
        <c:ser>
          <c:idx val="1"/>
          <c:order val="1"/>
          <c:tx>
            <c:v>Продолжительность работы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[1]З1!$A$123:$A$132</c:f>
              <c:strCache>
                <c:ptCount val="10"/>
                <c:pt idx="0">
                  <c:v>1-2</c:v>
                </c:pt>
                <c:pt idx="1">
                  <c:v>1-3</c:v>
                </c:pt>
                <c:pt idx="2">
                  <c:v>1-4</c:v>
                </c:pt>
                <c:pt idx="3">
                  <c:v>2-4</c:v>
                </c:pt>
                <c:pt idx="4">
                  <c:v>2-5</c:v>
                </c:pt>
                <c:pt idx="5">
                  <c:v>3-4</c:v>
                </c:pt>
                <c:pt idx="6">
                  <c:v>3-6</c:v>
                </c:pt>
                <c:pt idx="7">
                  <c:v>4-5</c:v>
                </c:pt>
                <c:pt idx="8">
                  <c:v>4-6</c:v>
                </c:pt>
                <c:pt idx="9">
                  <c:v>5-6</c:v>
                </c:pt>
              </c:strCache>
            </c:strRef>
          </c:cat>
          <c:val>
            <c:numRef>
              <c:f>[1]З1!$F$123:$F$132</c:f>
              <c:numCache>
                <c:formatCode>General</c:formatCode>
                <c:ptCount val="10"/>
                <c:pt idx="0">
                  <c:v>16</c:v>
                </c:pt>
                <c:pt idx="1">
                  <c:v>10</c:v>
                </c:pt>
                <c:pt idx="2">
                  <c:v>33.000000000000028</c:v>
                </c:pt>
                <c:pt idx="3">
                  <c:v>16.999999999999996</c:v>
                </c:pt>
                <c:pt idx="4">
                  <c:v>20</c:v>
                </c:pt>
                <c:pt idx="5">
                  <c:v>9</c:v>
                </c:pt>
                <c:pt idx="6">
                  <c:v>22</c:v>
                </c:pt>
                <c:pt idx="7">
                  <c:v>12.999999999999986</c:v>
                </c:pt>
                <c:pt idx="8">
                  <c:v>20</c:v>
                </c:pt>
                <c:pt idx="9">
                  <c:v>14.000000000000057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2A5-463F-B3FB-E01081E2E47F}"/>
            </c:ext>
          </c:extLst>
        </c:ser>
        <c:ser>
          <c:idx val="2"/>
          <c:order val="2"/>
          <c:tx>
            <c:v>Резерв</c:v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[1]З1!$A$123:$A$132</c:f>
              <c:strCache>
                <c:ptCount val="10"/>
                <c:pt idx="0">
                  <c:v>1-2</c:v>
                </c:pt>
                <c:pt idx="1">
                  <c:v>1-3</c:v>
                </c:pt>
                <c:pt idx="2">
                  <c:v>1-4</c:v>
                </c:pt>
                <c:pt idx="3">
                  <c:v>2-4</c:v>
                </c:pt>
                <c:pt idx="4">
                  <c:v>2-5</c:v>
                </c:pt>
                <c:pt idx="5">
                  <c:v>3-4</c:v>
                </c:pt>
                <c:pt idx="6">
                  <c:v>3-6</c:v>
                </c:pt>
                <c:pt idx="7">
                  <c:v>4-5</c:v>
                </c:pt>
                <c:pt idx="8">
                  <c:v>4-6</c:v>
                </c:pt>
                <c:pt idx="9">
                  <c:v>5-6</c:v>
                </c:pt>
              </c:strCache>
            </c:strRef>
          </c:cat>
          <c:val>
            <c:numRef>
              <c:f>[1]З1!$G$123:$G$132</c:f>
              <c:numCache>
                <c:formatCode>General</c:formatCode>
                <c:ptCount val="10"/>
                <c:pt idx="0">
                  <c:v>0</c:v>
                </c:pt>
                <c:pt idx="1">
                  <c:v>14</c:v>
                </c:pt>
                <c:pt idx="2">
                  <c:v>0</c:v>
                </c:pt>
                <c:pt idx="3">
                  <c:v>0</c:v>
                </c:pt>
                <c:pt idx="4">
                  <c:v>10</c:v>
                </c:pt>
                <c:pt idx="5">
                  <c:v>14</c:v>
                </c:pt>
                <c:pt idx="6">
                  <c:v>28</c:v>
                </c:pt>
                <c:pt idx="7">
                  <c:v>1.4210854715202004E-14</c:v>
                </c:pt>
                <c:pt idx="8">
                  <c:v>7</c:v>
                </c:pt>
                <c:pt idx="9">
                  <c:v>-5.6843418860808015E-14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2A5-463F-B3FB-E01081E2E4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211286447"/>
        <c:axId val="1450468655"/>
      </c:barChart>
      <c:catAx>
        <c:axId val="1211286447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Работы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450468655"/>
        <c:crosses val="autoZero"/>
        <c:auto val="1"/>
        <c:lblAlgn val="ctr"/>
        <c:lblOffset val="100"/>
        <c:noMultiLvlLbl val="0"/>
      </c:catAx>
      <c:valAx>
        <c:axId val="14504686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Время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2112864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24</xdr:row>
      <xdr:rowOff>0</xdr:rowOff>
    </xdr:from>
    <xdr:to>
      <xdr:col>14</xdr:col>
      <xdr:colOff>125420</xdr:colOff>
      <xdr:row>41</xdr:row>
      <xdr:rowOff>127591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B6E0AEE0-F1A2-4018-8A9A-E944C4F1150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106</xdr:row>
      <xdr:rowOff>0</xdr:rowOff>
    </xdr:from>
    <xdr:to>
      <xdr:col>12</xdr:col>
      <xdr:colOff>780030</xdr:colOff>
      <xdr:row>123</xdr:row>
      <xdr:rowOff>67591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4871CBC8-1BA2-4ACA-B43D-47E4904DCFC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bsuir\mp6\lab4.xlsx" TargetMode="External"/><Relationship Id="rId1" Type="http://schemas.openxmlformats.org/officeDocument/2006/relationships/externalLinkPath" Target="lab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З1"/>
      <sheetName val="З2"/>
    </sheetNames>
    <sheetDataSet>
      <sheetData sheetId="0">
        <row r="31">
          <cell r="A31" t="str">
            <v>1-2</v>
          </cell>
          <cell r="B31">
            <v>0</v>
          </cell>
          <cell r="F31">
            <v>19</v>
          </cell>
          <cell r="G31">
            <v>0</v>
          </cell>
        </row>
        <row r="32">
          <cell r="A32" t="str">
            <v>1-3</v>
          </cell>
          <cell r="B32">
            <v>0</v>
          </cell>
          <cell r="F32">
            <v>10</v>
          </cell>
          <cell r="G32">
            <v>18</v>
          </cell>
        </row>
        <row r="33">
          <cell r="A33" t="str">
            <v>1-4</v>
          </cell>
          <cell r="B33">
            <v>0</v>
          </cell>
          <cell r="F33">
            <v>35</v>
          </cell>
          <cell r="G33">
            <v>2</v>
          </cell>
        </row>
        <row r="34">
          <cell r="A34" t="str">
            <v>2-4</v>
          </cell>
          <cell r="B34">
            <v>19</v>
          </cell>
          <cell r="F34">
            <v>18</v>
          </cell>
          <cell r="G34">
            <v>0</v>
          </cell>
        </row>
        <row r="35">
          <cell r="A35" t="str">
            <v>2-5</v>
          </cell>
          <cell r="B35">
            <v>19</v>
          </cell>
          <cell r="F35">
            <v>20</v>
          </cell>
          <cell r="G35">
            <v>15</v>
          </cell>
        </row>
        <row r="36">
          <cell r="A36" t="str">
            <v>3-4</v>
          </cell>
          <cell r="B36">
            <v>10</v>
          </cell>
          <cell r="F36">
            <v>9</v>
          </cell>
          <cell r="G36">
            <v>18</v>
          </cell>
        </row>
        <row r="37">
          <cell r="A37" t="str">
            <v>3-6</v>
          </cell>
          <cell r="B37">
            <v>10</v>
          </cell>
          <cell r="F37">
            <v>22</v>
          </cell>
          <cell r="G37">
            <v>40</v>
          </cell>
        </row>
        <row r="38">
          <cell r="A38" t="str">
            <v>4-5</v>
          </cell>
          <cell r="B38">
            <v>37</v>
          </cell>
          <cell r="F38">
            <v>17</v>
          </cell>
          <cell r="G38">
            <v>0</v>
          </cell>
        </row>
        <row r="39">
          <cell r="A39" t="str">
            <v>4-6</v>
          </cell>
          <cell r="B39">
            <v>37</v>
          </cell>
          <cell r="F39">
            <v>20</v>
          </cell>
          <cell r="G39">
            <v>15</v>
          </cell>
        </row>
        <row r="40">
          <cell r="A40" t="str">
            <v>5-6</v>
          </cell>
          <cell r="B40">
            <v>54</v>
          </cell>
          <cell r="F40">
            <v>18</v>
          </cell>
          <cell r="G40">
            <v>0</v>
          </cell>
        </row>
        <row r="123">
          <cell r="A123" t="str">
            <v>1-2</v>
          </cell>
          <cell r="B123">
            <v>0</v>
          </cell>
          <cell r="F123">
            <v>16</v>
          </cell>
          <cell r="G123">
            <v>0</v>
          </cell>
        </row>
        <row r="124">
          <cell r="A124" t="str">
            <v>1-3</v>
          </cell>
          <cell r="B124">
            <v>0</v>
          </cell>
          <cell r="F124">
            <v>10</v>
          </cell>
          <cell r="G124">
            <v>14</v>
          </cell>
        </row>
        <row r="125">
          <cell r="A125" t="str">
            <v>1-4</v>
          </cell>
          <cell r="B125">
            <v>0</v>
          </cell>
          <cell r="F125">
            <v>33.000000000000028</v>
          </cell>
          <cell r="G125">
            <v>0</v>
          </cell>
        </row>
        <row r="126">
          <cell r="A126" t="str">
            <v>2-4</v>
          </cell>
          <cell r="B126">
            <v>16</v>
          </cell>
          <cell r="F126">
            <v>16.999999999999996</v>
          </cell>
          <cell r="G126">
            <v>0</v>
          </cell>
        </row>
        <row r="127">
          <cell r="A127" t="str">
            <v>2-5</v>
          </cell>
          <cell r="B127">
            <v>16</v>
          </cell>
          <cell r="F127">
            <v>20</v>
          </cell>
          <cell r="G127">
            <v>10</v>
          </cell>
        </row>
        <row r="128">
          <cell r="A128" t="str">
            <v>3-4</v>
          </cell>
          <cell r="B128">
            <v>10</v>
          </cell>
          <cell r="F128">
            <v>9</v>
          </cell>
          <cell r="G128">
            <v>14</v>
          </cell>
        </row>
        <row r="129">
          <cell r="A129" t="str">
            <v>3-6</v>
          </cell>
          <cell r="B129">
            <v>10</v>
          </cell>
          <cell r="F129">
            <v>22</v>
          </cell>
          <cell r="G129">
            <v>28</v>
          </cell>
        </row>
        <row r="130">
          <cell r="A130" t="str">
            <v>4-5</v>
          </cell>
          <cell r="B130">
            <v>33</v>
          </cell>
          <cell r="F130">
            <v>12.999999999999986</v>
          </cell>
          <cell r="G130">
            <v>1.4210854715202004E-14</v>
          </cell>
        </row>
        <row r="131">
          <cell r="A131" t="str">
            <v>4-6</v>
          </cell>
          <cell r="B131">
            <v>33</v>
          </cell>
          <cell r="F131">
            <v>20</v>
          </cell>
          <cell r="G131">
            <v>7</v>
          </cell>
        </row>
        <row r="132">
          <cell r="A132" t="str">
            <v>5-6</v>
          </cell>
          <cell r="B132">
            <v>46</v>
          </cell>
          <cell r="F132">
            <v>14.000000000000057</v>
          </cell>
          <cell r="G132">
            <v>-5.6843418860808015E-14</v>
          </cell>
        </row>
      </sheetData>
      <sheetData sheetId="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O166"/>
  <sheetViews>
    <sheetView tabSelected="1" topLeftCell="A94" zoomScale="76" zoomScaleNormal="100" workbookViewId="0">
      <selection activeCell="M168" sqref="M168"/>
    </sheetView>
  </sheetViews>
  <sheetFormatPr defaultRowHeight="14.25" x14ac:dyDescent="0.45"/>
  <cols>
    <col min="2" max="2" width="12.53125" customWidth="1"/>
    <col min="9" max="9" width="11.6640625" customWidth="1"/>
    <col min="12" max="14" width="11.3984375" customWidth="1"/>
  </cols>
  <sheetData>
    <row r="2" spans="2:11" ht="14.65" thickBot="1" x14ac:dyDescent="0.5"/>
    <row r="3" spans="2:11" x14ac:dyDescent="0.45">
      <c r="B3" s="2"/>
      <c r="C3" s="3" t="s">
        <v>84</v>
      </c>
      <c r="D3" s="3" t="s">
        <v>85</v>
      </c>
      <c r="E3" s="4" t="s">
        <v>0</v>
      </c>
    </row>
    <row r="4" spans="2:11" x14ac:dyDescent="0.45">
      <c r="B4" s="5">
        <v>1</v>
      </c>
      <c r="C4" s="1">
        <v>0</v>
      </c>
      <c r="D4" s="1">
        <v>0</v>
      </c>
      <c r="E4" s="6">
        <f xml:space="preserve"> D4-C4</f>
        <v>0</v>
      </c>
    </row>
    <row r="5" spans="2:11" x14ac:dyDescent="0.45">
      <c r="B5" s="5">
        <v>2</v>
      </c>
      <c r="C5" s="1">
        <v>19</v>
      </c>
      <c r="D5" s="1">
        <v>19</v>
      </c>
      <c r="E5" s="6">
        <f t="shared" ref="E5:E9" si="0" xml:space="preserve"> D5-C5</f>
        <v>0</v>
      </c>
    </row>
    <row r="6" spans="2:11" x14ac:dyDescent="0.45">
      <c r="B6" s="5">
        <v>3</v>
      </c>
      <c r="C6" s="1">
        <v>10</v>
      </c>
      <c r="D6" s="1">
        <v>28</v>
      </c>
      <c r="E6" s="6">
        <f t="shared" si="0"/>
        <v>18</v>
      </c>
    </row>
    <row r="7" spans="2:11" x14ac:dyDescent="0.45">
      <c r="B7" s="5">
        <v>4</v>
      </c>
      <c r="C7" s="1">
        <v>37</v>
      </c>
      <c r="D7" s="1">
        <v>37</v>
      </c>
      <c r="E7" s="6">
        <f t="shared" si="0"/>
        <v>0</v>
      </c>
    </row>
    <row r="8" spans="2:11" x14ac:dyDescent="0.45">
      <c r="B8" s="5">
        <v>5</v>
      </c>
      <c r="C8" s="1">
        <v>54</v>
      </c>
      <c r="D8" s="1">
        <v>54</v>
      </c>
      <c r="E8" s="6">
        <f t="shared" si="0"/>
        <v>0</v>
      </c>
    </row>
    <row r="9" spans="2:11" ht="14.65" thickBot="1" x14ac:dyDescent="0.5">
      <c r="B9" s="7">
        <v>6</v>
      </c>
      <c r="C9" s="8">
        <v>72</v>
      </c>
      <c r="D9" s="8">
        <v>72</v>
      </c>
      <c r="E9" s="9">
        <f t="shared" si="0"/>
        <v>0</v>
      </c>
    </row>
    <row r="11" spans="2:11" ht="14.65" thickBot="1" x14ac:dyDescent="0.5"/>
    <row r="12" spans="2:11" x14ac:dyDescent="0.45">
      <c r="B12" s="2"/>
      <c r="C12" s="3" t="s">
        <v>86</v>
      </c>
      <c r="D12" s="3" t="s">
        <v>87</v>
      </c>
      <c r="E12" s="3" t="s">
        <v>88</v>
      </c>
      <c r="F12" s="3" t="s">
        <v>89</v>
      </c>
      <c r="G12" s="3" t="s">
        <v>1</v>
      </c>
      <c r="H12" s="3" t="s">
        <v>90</v>
      </c>
      <c r="I12" s="3" t="s">
        <v>91</v>
      </c>
      <c r="J12" s="3" t="s">
        <v>92</v>
      </c>
      <c r="K12" s="4" t="s">
        <v>93</v>
      </c>
    </row>
    <row r="13" spans="2:11" x14ac:dyDescent="0.45">
      <c r="B13" s="12" t="s">
        <v>2</v>
      </c>
      <c r="C13" s="1">
        <f>C4</f>
        <v>0</v>
      </c>
      <c r="D13" s="1">
        <f>C13+G13</f>
        <v>19</v>
      </c>
      <c r="E13" s="1">
        <f>D5</f>
        <v>19</v>
      </c>
      <c r="F13" s="1">
        <f>E13-G13</f>
        <v>0</v>
      </c>
      <c r="G13" s="1">
        <v>19</v>
      </c>
      <c r="H13" s="1">
        <f>D5-C4-G13</f>
        <v>0</v>
      </c>
      <c r="I13" s="1">
        <f>C5-D4-G13</f>
        <v>0</v>
      </c>
      <c r="J13" s="1">
        <f>D5-D4-G13</f>
        <v>0</v>
      </c>
      <c r="K13" s="6">
        <f>C5-C4-G13</f>
        <v>0</v>
      </c>
    </row>
    <row r="14" spans="2:11" x14ac:dyDescent="0.45">
      <c r="B14" s="12" t="s">
        <v>3</v>
      </c>
      <c r="C14" s="1">
        <f>C4</f>
        <v>0</v>
      </c>
      <c r="D14" s="1">
        <f t="shared" ref="D14:D22" si="1">C14+G14</f>
        <v>10</v>
      </c>
      <c r="E14" s="1">
        <f>D6</f>
        <v>28</v>
      </c>
      <c r="F14" s="1">
        <f t="shared" ref="F14:F22" si="2">E14-G14</f>
        <v>18</v>
      </c>
      <c r="G14" s="1">
        <v>10</v>
      </c>
      <c r="H14" s="1">
        <f>D6-C4-G14</f>
        <v>18</v>
      </c>
      <c r="I14" s="1">
        <f>C6-D4-G14</f>
        <v>0</v>
      </c>
      <c r="J14" s="1">
        <f>D6-D4-G14</f>
        <v>18</v>
      </c>
      <c r="K14" s="6">
        <f>C6-C4-G14</f>
        <v>0</v>
      </c>
    </row>
    <row r="15" spans="2:11" x14ac:dyDescent="0.45">
      <c r="B15" s="12" t="s">
        <v>4</v>
      </c>
      <c r="C15" s="1">
        <f>C4</f>
        <v>0</v>
      </c>
      <c r="D15" s="1">
        <f t="shared" si="1"/>
        <v>35</v>
      </c>
      <c r="E15" s="1">
        <f>D7</f>
        <v>37</v>
      </c>
      <c r="F15" s="1">
        <f t="shared" si="2"/>
        <v>2</v>
      </c>
      <c r="G15" s="1">
        <v>35</v>
      </c>
      <c r="H15" s="1">
        <f>D7-C4-G15</f>
        <v>2</v>
      </c>
      <c r="I15" s="1">
        <f>C7-D4-G15</f>
        <v>2</v>
      </c>
      <c r="J15" s="1">
        <f>D7-D4-G15</f>
        <v>2</v>
      </c>
      <c r="K15" s="6">
        <f>C7-C4-G15</f>
        <v>2</v>
      </c>
    </row>
    <row r="16" spans="2:11" x14ac:dyDescent="0.45">
      <c r="B16" s="12" t="s">
        <v>5</v>
      </c>
      <c r="C16" s="1">
        <f>C5</f>
        <v>19</v>
      </c>
      <c r="D16" s="1">
        <f t="shared" si="1"/>
        <v>37</v>
      </c>
      <c r="E16" s="1">
        <f>D7</f>
        <v>37</v>
      </c>
      <c r="F16" s="1">
        <f t="shared" si="2"/>
        <v>19</v>
      </c>
      <c r="G16" s="1">
        <v>18</v>
      </c>
      <c r="H16" s="1">
        <f>D7-C5-G16</f>
        <v>0</v>
      </c>
      <c r="I16" s="1">
        <f>C7-D5-G16</f>
        <v>0</v>
      </c>
      <c r="J16" s="1">
        <f>D7-D5-G16</f>
        <v>0</v>
      </c>
      <c r="K16" s="6">
        <f>C7-C5-G16</f>
        <v>0</v>
      </c>
    </row>
    <row r="17" spans="2:11" x14ac:dyDescent="0.45">
      <c r="B17" s="12" t="s">
        <v>6</v>
      </c>
      <c r="C17" s="1">
        <f>C5</f>
        <v>19</v>
      </c>
      <c r="D17" s="1">
        <f t="shared" si="1"/>
        <v>39</v>
      </c>
      <c r="E17" s="1">
        <f>D8</f>
        <v>54</v>
      </c>
      <c r="F17" s="1">
        <f t="shared" si="2"/>
        <v>34</v>
      </c>
      <c r="G17" s="1">
        <v>20</v>
      </c>
      <c r="H17" s="1">
        <f>D8-C5-G17</f>
        <v>15</v>
      </c>
      <c r="I17" s="1">
        <f>C8-D5-G17</f>
        <v>15</v>
      </c>
      <c r="J17" s="1">
        <f>D8-D5-G17</f>
        <v>15</v>
      </c>
      <c r="K17" s="6">
        <f>C8-C5-G17</f>
        <v>15</v>
      </c>
    </row>
    <row r="18" spans="2:11" x14ac:dyDescent="0.45">
      <c r="B18" s="12" t="s">
        <v>7</v>
      </c>
      <c r="C18" s="1">
        <f>C6</f>
        <v>10</v>
      </c>
      <c r="D18" s="1">
        <f t="shared" si="1"/>
        <v>19</v>
      </c>
      <c r="E18" s="1">
        <f>D7</f>
        <v>37</v>
      </c>
      <c r="F18" s="1">
        <f t="shared" si="2"/>
        <v>28</v>
      </c>
      <c r="G18" s="1">
        <v>9</v>
      </c>
      <c r="H18" s="1">
        <f>D7-C6-G18</f>
        <v>18</v>
      </c>
      <c r="I18" s="1">
        <f>C7-D6-G18</f>
        <v>0</v>
      </c>
      <c r="J18" s="1">
        <f>D7-D6-G18</f>
        <v>0</v>
      </c>
      <c r="K18" s="6">
        <f>C7-C6-G18</f>
        <v>18</v>
      </c>
    </row>
    <row r="19" spans="2:11" x14ac:dyDescent="0.45">
      <c r="B19" s="12" t="s">
        <v>8</v>
      </c>
      <c r="C19" s="1">
        <f>C6</f>
        <v>10</v>
      </c>
      <c r="D19" s="1">
        <f t="shared" si="1"/>
        <v>32</v>
      </c>
      <c r="E19" s="1">
        <f>D9</f>
        <v>72</v>
      </c>
      <c r="F19" s="1">
        <f t="shared" si="2"/>
        <v>50</v>
      </c>
      <c r="G19" s="1">
        <v>22</v>
      </c>
      <c r="H19" s="1">
        <f>D9-C6-G19</f>
        <v>40</v>
      </c>
      <c r="I19" s="1">
        <f>C9-D6-G19</f>
        <v>22</v>
      </c>
      <c r="J19" s="1">
        <f>D9-D6-G19</f>
        <v>22</v>
      </c>
      <c r="K19" s="6">
        <f>C9-C6-G19</f>
        <v>40</v>
      </c>
    </row>
    <row r="20" spans="2:11" x14ac:dyDescent="0.45">
      <c r="B20" s="12" t="s">
        <v>9</v>
      </c>
      <c r="C20" s="1">
        <f>C7</f>
        <v>37</v>
      </c>
      <c r="D20" s="1">
        <f t="shared" si="1"/>
        <v>54</v>
      </c>
      <c r="E20" s="1">
        <f>D8</f>
        <v>54</v>
      </c>
      <c r="F20" s="1">
        <f t="shared" si="2"/>
        <v>37</v>
      </c>
      <c r="G20" s="1">
        <v>17</v>
      </c>
      <c r="H20" s="1">
        <f>D8-C7-G20</f>
        <v>0</v>
      </c>
      <c r="I20" s="1">
        <f>C8-D7-G20</f>
        <v>0</v>
      </c>
      <c r="J20" s="1">
        <f>D8-D7-G20</f>
        <v>0</v>
      </c>
      <c r="K20" s="6">
        <f>C8-C7-G20</f>
        <v>0</v>
      </c>
    </row>
    <row r="21" spans="2:11" x14ac:dyDescent="0.45">
      <c r="B21" s="12" t="s">
        <v>10</v>
      </c>
      <c r="C21" s="1">
        <f>C7</f>
        <v>37</v>
      </c>
      <c r="D21" s="1">
        <f t="shared" si="1"/>
        <v>57</v>
      </c>
      <c r="E21" s="1">
        <f>D9</f>
        <v>72</v>
      </c>
      <c r="F21" s="1">
        <f t="shared" si="2"/>
        <v>52</v>
      </c>
      <c r="G21" s="1">
        <v>20</v>
      </c>
      <c r="H21" s="1">
        <f>D9-C7-G21</f>
        <v>15</v>
      </c>
      <c r="I21" s="1">
        <f>C9-D7-G21</f>
        <v>15</v>
      </c>
      <c r="J21" s="1">
        <f>D9-D7-G21</f>
        <v>15</v>
      </c>
      <c r="K21" s="6">
        <f>C9-C7-G21</f>
        <v>15</v>
      </c>
    </row>
    <row r="22" spans="2:11" ht="14.65" thickBot="1" x14ac:dyDescent="0.5">
      <c r="B22" s="13" t="s">
        <v>11</v>
      </c>
      <c r="C22" s="8">
        <f>C8</f>
        <v>54</v>
      </c>
      <c r="D22" s="8">
        <f t="shared" si="1"/>
        <v>72</v>
      </c>
      <c r="E22" s="8">
        <f>D9</f>
        <v>72</v>
      </c>
      <c r="F22" s="8">
        <f t="shared" si="2"/>
        <v>54</v>
      </c>
      <c r="G22" s="8">
        <v>18</v>
      </c>
      <c r="H22" s="8">
        <f>D9-C8-G22</f>
        <v>0</v>
      </c>
      <c r="I22" s="8">
        <f>C9-D8-G22</f>
        <v>0</v>
      </c>
      <c r="J22" s="8">
        <f>D9-D8-G22</f>
        <v>0</v>
      </c>
      <c r="K22" s="9">
        <f>C9-C8-G22</f>
        <v>0</v>
      </c>
    </row>
    <row r="48" ht="14.65" thickBot="1" x14ac:dyDescent="0.5"/>
    <row r="49" spans="1:15" ht="14.65" thickBot="1" x14ac:dyDescent="0.5">
      <c r="A49" s="34"/>
      <c r="B49" s="35"/>
      <c r="C49" s="35"/>
      <c r="D49" s="35"/>
      <c r="E49" s="35"/>
      <c r="F49" s="35"/>
      <c r="G49" s="35"/>
      <c r="H49" s="35"/>
      <c r="I49" s="35"/>
      <c r="J49" s="35"/>
      <c r="K49" s="35"/>
      <c r="L49" s="35"/>
      <c r="M49" s="35"/>
      <c r="N49" s="35"/>
      <c r="O49" s="36"/>
    </row>
    <row r="50" spans="1:15" ht="14.65" thickBot="1" x14ac:dyDescent="0.5">
      <c r="A50" s="37"/>
      <c r="B50" s="14" t="s">
        <v>12</v>
      </c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6"/>
      <c r="O50" s="38"/>
    </row>
    <row r="51" spans="1:15" ht="14.65" thickBot="1" x14ac:dyDescent="0.5">
      <c r="A51" s="37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38"/>
    </row>
    <row r="52" spans="1:15" x14ac:dyDescent="0.45">
      <c r="A52" s="37"/>
      <c r="B52" s="18" t="s">
        <v>13</v>
      </c>
      <c r="C52" s="19"/>
      <c r="D52" s="10"/>
      <c r="E52" s="18" t="s">
        <v>17</v>
      </c>
      <c r="F52" s="24"/>
      <c r="G52" s="19"/>
      <c r="H52" s="10"/>
      <c r="I52" s="18" t="s">
        <v>18</v>
      </c>
      <c r="J52" s="19"/>
      <c r="K52" s="10"/>
      <c r="L52" s="26" t="s">
        <v>19</v>
      </c>
      <c r="M52" s="27" t="s">
        <v>20</v>
      </c>
      <c r="N52" s="28" t="s">
        <v>21</v>
      </c>
      <c r="O52" s="38"/>
    </row>
    <row r="53" spans="1:15" x14ac:dyDescent="0.45">
      <c r="A53" s="37"/>
      <c r="B53" s="20" t="s">
        <v>14</v>
      </c>
      <c r="C53" s="21"/>
      <c r="D53" s="10"/>
      <c r="E53" s="20" t="s">
        <v>23</v>
      </c>
      <c r="F53" s="17"/>
      <c r="G53" s="21"/>
      <c r="H53" s="10"/>
      <c r="I53" s="20" t="s">
        <v>24</v>
      </c>
      <c r="J53" s="21"/>
      <c r="K53" s="10"/>
      <c r="L53" s="29" t="s">
        <v>25</v>
      </c>
      <c r="M53" s="11" t="s">
        <v>26</v>
      </c>
      <c r="N53" s="30" t="s">
        <v>27</v>
      </c>
      <c r="O53" s="38"/>
    </row>
    <row r="54" spans="1:15" ht="14.65" thickBot="1" x14ac:dyDescent="0.5">
      <c r="A54" s="37"/>
      <c r="B54" s="22" t="s">
        <v>15</v>
      </c>
      <c r="C54" s="23"/>
      <c r="D54" s="10"/>
      <c r="E54" s="20" t="s">
        <v>29</v>
      </c>
      <c r="F54" s="17"/>
      <c r="G54" s="21"/>
      <c r="H54" s="10"/>
      <c r="I54" s="20" t="s">
        <v>30</v>
      </c>
      <c r="J54" s="21"/>
      <c r="K54" s="10"/>
      <c r="L54" s="29" t="s">
        <v>31</v>
      </c>
      <c r="M54" s="11" t="s">
        <v>32</v>
      </c>
      <c r="N54" s="30" t="s">
        <v>33</v>
      </c>
      <c r="O54" s="38"/>
    </row>
    <row r="55" spans="1:15" ht="14.65" thickBot="1" x14ac:dyDescent="0.5">
      <c r="A55" s="37"/>
      <c r="B55" s="10"/>
      <c r="C55" s="10"/>
      <c r="D55" s="10"/>
      <c r="E55" s="20" t="s">
        <v>35</v>
      </c>
      <c r="F55" s="17"/>
      <c r="G55" s="21"/>
      <c r="H55" s="10"/>
      <c r="I55" s="20" t="s">
        <v>36</v>
      </c>
      <c r="J55" s="21"/>
      <c r="K55" s="10"/>
      <c r="L55" s="29" t="s">
        <v>37</v>
      </c>
      <c r="M55" s="11" t="s">
        <v>38</v>
      </c>
      <c r="N55" s="30" t="s">
        <v>39</v>
      </c>
      <c r="O55" s="38"/>
    </row>
    <row r="56" spans="1:15" x14ac:dyDescent="0.45">
      <c r="A56" s="37"/>
      <c r="B56" s="18" t="s">
        <v>16</v>
      </c>
      <c r="C56" s="19"/>
      <c r="D56" s="10"/>
      <c r="E56" s="20" t="s">
        <v>41</v>
      </c>
      <c r="F56" s="17"/>
      <c r="G56" s="21"/>
      <c r="H56" s="10"/>
      <c r="I56" s="20" t="s">
        <v>42</v>
      </c>
      <c r="J56" s="21"/>
      <c r="K56" s="10"/>
      <c r="L56" s="29" t="s">
        <v>43</v>
      </c>
      <c r="M56" s="11" t="s">
        <v>44</v>
      </c>
      <c r="N56" s="30" t="s">
        <v>45</v>
      </c>
      <c r="O56" s="38"/>
    </row>
    <row r="57" spans="1:15" x14ac:dyDescent="0.45">
      <c r="A57" s="37"/>
      <c r="B57" s="20" t="s">
        <v>22</v>
      </c>
      <c r="C57" s="21"/>
      <c r="D57" s="10"/>
      <c r="E57" s="20" t="s">
        <v>47</v>
      </c>
      <c r="F57" s="17"/>
      <c r="G57" s="21"/>
      <c r="H57" s="10"/>
      <c r="I57" s="20" t="s">
        <v>48</v>
      </c>
      <c r="J57" s="21"/>
      <c r="K57" s="10"/>
      <c r="L57" s="29" t="s">
        <v>49</v>
      </c>
      <c r="M57" s="11" t="s">
        <v>50</v>
      </c>
      <c r="N57" s="30" t="s">
        <v>51</v>
      </c>
      <c r="O57" s="38"/>
    </row>
    <row r="58" spans="1:15" x14ac:dyDescent="0.45">
      <c r="A58" s="37"/>
      <c r="B58" s="20" t="s">
        <v>28</v>
      </c>
      <c r="C58" s="21"/>
      <c r="D58" s="10"/>
      <c r="E58" s="20" t="s">
        <v>53</v>
      </c>
      <c r="F58" s="17"/>
      <c r="G58" s="21"/>
      <c r="H58" s="10"/>
      <c r="I58" s="20" t="s">
        <v>54</v>
      </c>
      <c r="J58" s="21"/>
      <c r="K58" s="10"/>
      <c r="L58" s="29" t="s">
        <v>55</v>
      </c>
      <c r="M58" s="11" t="s">
        <v>56</v>
      </c>
      <c r="N58" s="30" t="s">
        <v>57</v>
      </c>
      <c r="O58" s="38"/>
    </row>
    <row r="59" spans="1:15" x14ac:dyDescent="0.45">
      <c r="A59" s="37"/>
      <c r="B59" s="20" t="s">
        <v>34</v>
      </c>
      <c r="C59" s="21"/>
      <c r="D59" s="10"/>
      <c r="E59" s="20" t="s">
        <v>59</v>
      </c>
      <c r="F59" s="17"/>
      <c r="G59" s="21"/>
      <c r="H59" s="10"/>
      <c r="I59" s="20" t="s">
        <v>60</v>
      </c>
      <c r="J59" s="21"/>
      <c r="K59" s="10"/>
      <c r="L59" s="29" t="s">
        <v>61</v>
      </c>
      <c r="M59" s="11" t="s">
        <v>62</v>
      </c>
      <c r="N59" s="30" t="s">
        <v>63</v>
      </c>
      <c r="O59" s="38"/>
    </row>
    <row r="60" spans="1:15" x14ac:dyDescent="0.45">
      <c r="A60" s="37"/>
      <c r="B60" s="20" t="s">
        <v>40</v>
      </c>
      <c r="C60" s="21"/>
      <c r="D60" s="10"/>
      <c r="E60" s="20" t="s">
        <v>65</v>
      </c>
      <c r="F60" s="17"/>
      <c r="G60" s="21"/>
      <c r="H60" s="10"/>
      <c r="I60" s="20" t="s">
        <v>66</v>
      </c>
      <c r="J60" s="21"/>
      <c r="K60" s="10"/>
      <c r="L60" s="29" t="s">
        <v>67</v>
      </c>
      <c r="M60" s="11" t="s">
        <v>68</v>
      </c>
      <c r="N60" s="30" t="s">
        <v>69</v>
      </c>
      <c r="O60" s="38"/>
    </row>
    <row r="61" spans="1:15" ht="14.65" thickBot="1" x14ac:dyDescent="0.5">
      <c r="A61" s="37"/>
      <c r="B61" s="20" t="s">
        <v>46</v>
      </c>
      <c r="C61" s="21"/>
      <c r="D61" s="10"/>
      <c r="E61" s="22" t="s">
        <v>71</v>
      </c>
      <c r="F61" s="25"/>
      <c r="G61" s="23"/>
      <c r="H61" s="10"/>
      <c r="I61" s="20" t="s">
        <v>72</v>
      </c>
      <c r="J61" s="21"/>
      <c r="K61" s="10"/>
      <c r="L61" s="31" t="s">
        <v>73</v>
      </c>
      <c r="M61" s="32" t="s">
        <v>74</v>
      </c>
      <c r="N61" s="33" t="s">
        <v>75</v>
      </c>
      <c r="O61" s="38"/>
    </row>
    <row r="62" spans="1:15" x14ac:dyDescent="0.45">
      <c r="A62" s="37"/>
      <c r="B62" s="20" t="s">
        <v>52</v>
      </c>
      <c r="C62" s="21"/>
      <c r="D62" s="10"/>
      <c r="E62" s="10"/>
      <c r="F62" s="10"/>
      <c r="G62" s="10"/>
      <c r="H62" s="10"/>
      <c r="I62" s="20" t="s">
        <v>76</v>
      </c>
      <c r="J62" s="21"/>
      <c r="K62" s="10"/>
      <c r="L62" s="10"/>
      <c r="M62" s="10"/>
      <c r="N62" s="10"/>
      <c r="O62" s="38"/>
    </row>
    <row r="63" spans="1:15" x14ac:dyDescent="0.45">
      <c r="A63" s="37"/>
      <c r="B63" s="20" t="s">
        <v>58</v>
      </c>
      <c r="C63" s="21"/>
      <c r="D63" s="10"/>
      <c r="E63" s="10"/>
      <c r="F63" s="10"/>
      <c r="G63" s="10"/>
      <c r="H63" s="10"/>
      <c r="I63" s="20" t="s">
        <v>77</v>
      </c>
      <c r="J63" s="21"/>
      <c r="K63" s="10"/>
      <c r="L63" s="10"/>
      <c r="M63" s="10"/>
      <c r="N63" s="10"/>
      <c r="O63" s="38"/>
    </row>
    <row r="64" spans="1:15" x14ac:dyDescent="0.45">
      <c r="A64" s="37"/>
      <c r="B64" s="20" t="s">
        <v>64</v>
      </c>
      <c r="C64" s="21"/>
      <c r="D64" s="10"/>
      <c r="E64" s="10"/>
      <c r="F64" s="10"/>
      <c r="G64" s="10"/>
      <c r="H64" s="10"/>
      <c r="I64" s="20" t="s">
        <v>78</v>
      </c>
      <c r="J64" s="21"/>
      <c r="K64" s="10"/>
      <c r="L64" s="10"/>
      <c r="M64" s="10"/>
      <c r="N64" s="10"/>
      <c r="O64" s="38"/>
    </row>
    <row r="65" spans="1:15" ht="14.65" thickBot="1" x14ac:dyDescent="0.5">
      <c r="A65" s="37"/>
      <c r="B65" s="22" t="s">
        <v>70</v>
      </c>
      <c r="C65" s="23"/>
      <c r="D65" s="10"/>
      <c r="E65" s="10"/>
      <c r="F65" s="10"/>
      <c r="G65" s="10"/>
      <c r="H65" s="10"/>
      <c r="I65" s="20" t="s">
        <v>79</v>
      </c>
      <c r="J65" s="21"/>
      <c r="K65" s="10"/>
      <c r="L65" s="10"/>
      <c r="M65" s="10"/>
      <c r="N65" s="10"/>
      <c r="O65" s="38"/>
    </row>
    <row r="66" spans="1:15" ht="14.65" thickBot="1" x14ac:dyDescent="0.5">
      <c r="A66" s="37"/>
      <c r="B66" s="10"/>
      <c r="C66" s="10"/>
      <c r="D66" s="10"/>
      <c r="E66" s="10"/>
      <c r="F66" s="10"/>
      <c r="G66" s="10"/>
      <c r="H66" s="10"/>
      <c r="I66" s="22" t="s">
        <v>80</v>
      </c>
      <c r="J66" s="23"/>
      <c r="K66" s="10"/>
      <c r="L66" s="10"/>
      <c r="M66" s="10"/>
      <c r="N66" s="10"/>
      <c r="O66" s="38"/>
    </row>
    <row r="67" spans="1:15" ht="14.65" thickBot="1" x14ac:dyDescent="0.5">
      <c r="A67" s="39"/>
      <c r="B67" s="40"/>
      <c r="C67" s="40"/>
      <c r="D67" s="40"/>
      <c r="E67" s="40"/>
      <c r="F67" s="40"/>
      <c r="G67" s="40"/>
      <c r="H67" s="40"/>
      <c r="I67" s="40"/>
      <c r="J67" s="40"/>
      <c r="K67" s="40"/>
      <c r="L67" s="40"/>
      <c r="M67" s="40"/>
      <c r="N67" s="40"/>
      <c r="O67" s="41"/>
    </row>
    <row r="69" spans="1:15" ht="14.65" thickBot="1" x14ac:dyDescent="0.5"/>
    <row r="70" spans="1:15" x14ac:dyDescent="0.45">
      <c r="B70" s="43"/>
      <c r="C70" s="44" t="s">
        <v>1</v>
      </c>
      <c r="D70" s="44" t="s">
        <v>81</v>
      </c>
      <c r="E70" s="44" t="s">
        <v>82</v>
      </c>
      <c r="F70" s="44" t="s">
        <v>94</v>
      </c>
      <c r="G70" s="44" t="s">
        <v>95</v>
      </c>
      <c r="H70" s="44" t="s">
        <v>83</v>
      </c>
      <c r="I70" s="45" t="s">
        <v>96</v>
      </c>
    </row>
    <row r="71" spans="1:15" x14ac:dyDescent="0.45">
      <c r="B71" s="46" t="s">
        <v>2</v>
      </c>
      <c r="C71" s="42">
        <v>19</v>
      </c>
      <c r="D71" s="42">
        <v>16</v>
      </c>
      <c r="E71" s="42">
        <v>0.25</v>
      </c>
      <c r="F71" s="42">
        <v>0</v>
      </c>
      <c r="G71" s="42">
        <f>F71+I71</f>
        <v>16</v>
      </c>
      <c r="H71" s="42">
        <v>12</v>
      </c>
      <c r="I71" s="47">
        <f>C71-E71*H71</f>
        <v>16</v>
      </c>
    </row>
    <row r="72" spans="1:15" x14ac:dyDescent="0.45">
      <c r="B72" s="46" t="s">
        <v>3</v>
      </c>
      <c r="C72" s="42">
        <v>10</v>
      </c>
      <c r="D72" s="42">
        <v>5</v>
      </c>
      <c r="E72" s="42">
        <v>7.0000000000000007E-2</v>
      </c>
      <c r="F72" s="42">
        <v>0</v>
      </c>
      <c r="G72" s="42">
        <f t="shared" ref="G72:G80" si="3">F72+I72</f>
        <v>10</v>
      </c>
      <c r="H72" s="42">
        <v>0</v>
      </c>
      <c r="I72" s="47">
        <f t="shared" ref="I72:I80" si="4">C72-E72*H72</f>
        <v>10</v>
      </c>
    </row>
    <row r="73" spans="1:15" x14ac:dyDescent="0.45">
      <c r="B73" s="46" t="s">
        <v>4</v>
      </c>
      <c r="C73" s="42">
        <v>35</v>
      </c>
      <c r="D73" s="42">
        <v>25</v>
      </c>
      <c r="E73" s="42">
        <v>0.1</v>
      </c>
      <c r="F73" s="42">
        <v>0</v>
      </c>
      <c r="G73" s="42">
        <f t="shared" si="3"/>
        <v>33.000000000000028</v>
      </c>
      <c r="H73" s="42">
        <v>19.999999999999716</v>
      </c>
      <c r="I73" s="47">
        <f t="shared" si="4"/>
        <v>33.000000000000028</v>
      </c>
    </row>
    <row r="74" spans="1:15" x14ac:dyDescent="0.45">
      <c r="B74" s="46" t="s">
        <v>5</v>
      </c>
      <c r="C74" s="42">
        <v>18</v>
      </c>
      <c r="D74" s="42">
        <v>13</v>
      </c>
      <c r="E74" s="42">
        <v>0.2</v>
      </c>
      <c r="F74" s="42">
        <v>16</v>
      </c>
      <c r="G74" s="42">
        <f t="shared" si="3"/>
        <v>33</v>
      </c>
      <c r="H74" s="42">
        <v>5.0000000000000178</v>
      </c>
      <c r="I74" s="47">
        <f t="shared" si="4"/>
        <v>16.999999999999996</v>
      </c>
    </row>
    <row r="75" spans="1:15" x14ac:dyDescent="0.45">
      <c r="B75" s="46" t="s">
        <v>6</v>
      </c>
      <c r="C75" s="42">
        <v>20</v>
      </c>
      <c r="D75" s="42">
        <v>15</v>
      </c>
      <c r="E75" s="42">
        <v>0.13</v>
      </c>
      <c r="F75" s="42">
        <v>26</v>
      </c>
      <c r="G75" s="42">
        <f t="shared" si="3"/>
        <v>46</v>
      </c>
      <c r="H75" s="42">
        <v>0</v>
      </c>
      <c r="I75" s="47">
        <f t="shared" si="4"/>
        <v>20</v>
      </c>
    </row>
    <row r="76" spans="1:15" x14ac:dyDescent="0.45">
      <c r="B76" s="46" t="s">
        <v>7</v>
      </c>
      <c r="C76" s="42">
        <v>9</v>
      </c>
      <c r="D76" s="42">
        <v>6</v>
      </c>
      <c r="E76" s="42">
        <v>0.15</v>
      </c>
      <c r="F76" s="42">
        <v>24</v>
      </c>
      <c r="G76" s="42">
        <f t="shared" si="3"/>
        <v>33</v>
      </c>
      <c r="H76" s="42">
        <v>0</v>
      </c>
      <c r="I76" s="47">
        <f t="shared" si="4"/>
        <v>9</v>
      </c>
    </row>
    <row r="77" spans="1:15" x14ac:dyDescent="0.45">
      <c r="B77" s="46" t="s">
        <v>8</v>
      </c>
      <c r="C77" s="42">
        <v>22</v>
      </c>
      <c r="D77" s="42">
        <v>17</v>
      </c>
      <c r="E77" s="42">
        <v>0.06</v>
      </c>
      <c r="F77" s="42">
        <v>10</v>
      </c>
      <c r="G77" s="42">
        <f t="shared" si="3"/>
        <v>32</v>
      </c>
      <c r="H77" s="42">
        <v>0</v>
      </c>
      <c r="I77" s="47">
        <f t="shared" si="4"/>
        <v>22</v>
      </c>
    </row>
    <row r="78" spans="1:15" x14ac:dyDescent="0.45">
      <c r="B78" s="46" t="s">
        <v>9</v>
      </c>
      <c r="C78" s="42">
        <v>17</v>
      </c>
      <c r="D78" s="42">
        <v>13</v>
      </c>
      <c r="E78" s="42">
        <v>0.4</v>
      </c>
      <c r="F78" s="42">
        <v>33</v>
      </c>
      <c r="G78" s="42">
        <f t="shared" si="3"/>
        <v>45.999999999999986</v>
      </c>
      <c r="H78" s="42">
        <v>10.000000000000036</v>
      </c>
      <c r="I78" s="47">
        <f t="shared" si="4"/>
        <v>12.999999999999986</v>
      </c>
    </row>
    <row r="79" spans="1:15" x14ac:dyDescent="0.45">
      <c r="B79" s="46" t="s">
        <v>10</v>
      </c>
      <c r="C79" s="42">
        <v>20</v>
      </c>
      <c r="D79" s="42">
        <v>15</v>
      </c>
      <c r="E79" s="42">
        <v>0.2</v>
      </c>
      <c r="F79" s="42">
        <v>33</v>
      </c>
      <c r="G79" s="42">
        <f t="shared" si="3"/>
        <v>53</v>
      </c>
      <c r="H79" s="42">
        <v>0</v>
      </c>
      <c r="I79" s="47">
        <f t="shared" si="4"/>
        <v>20</v>
      </c>
    </row>
    <row r="80" spans="1:15" x14ac:dyDescent="0.45">
      <c r="B80" s="46" t="s">
        <v>11</v>
      </c>
      <c r="C80" s="42">
        <v>18</v>
      </c>
      <c r="D80" s="42">
        <v>14</v>
      </c>
      <c r="E80" s="42">
        <v>0.1</v>
      </c>
      <c r="F80" s="42">
        <v>46</v>
      </c>
      <c r="G80" s="42">
        <f t="shared" si="3"/>
        <v>60.000000000000057</v>
      </c>
      <c r="H80" s="42">
        <v>39.999999999999432</v>
      </c>
      <c r="I80" s="47">
        <f t="shared" si="4"/>
        <v>14.000000000000057</v>
      </c>
    </row>
    <row r="81" spans="2:11" ht="14.65" thickBot="1" x14ac:dyDescent="0.5">
      <c r="B81" s="50"/>
      <c r="C81" s="51"/>
      <c r="D81" s="51"/>
      <c r="E81" s="51"/>
      <c r="F81" s="51"/>
      <c r="G81" s="52"/>
      <c r="H81" s="48">
        <f>SUM(H71:H80)</f>
        <v>86.999999999999204</v>
      </c>
      <c r="I81" s="49"/>
    </row>
    <row r="83" spans="2:11" ht="14.65" thickBot="1" x14ac:dyDescent="0.5"/>
    <row r="84" spans="2:11" x14ac:dyDescent="0.45">
      <c r="B84" s="2"/>
      <c r="C84" s="3" t="s">
        <v>84</v>
      </c>
      <c r="D84" s="3" t="s">
        <v>97</v>
      </c>
      <c r="E84" s="4" t="s">
        <v>0</v>
      </c>
    </row>
    <row r="85" spans="2:11" x14ac:dyDescent="0.45">
      <c r="B85" s="5">
        <v>1</v>
      </c>
      <c r="C85" s="1">
        <v>0</v>
      </c>
      <c r="D85" s="1">
        <v>0</v>
      </c>
      <c r="E85" s="6">
        <f xml:space="preserve"> D85-C85</f>
        <v>0</v>
      </c>
    </row>
    <row r="86" spans="2:11" x14ac:dyDescent="0.45">
      <c r="B86" s="5">
        <v>2</v>
      </c>
      <c r="C86" s="1">
        <v>16</v>
      </c>
      <c r="D86" s="1">
        <v>16</v>
      </c>
      <c r="E86" s="6">
        <f t="shared" ref="E86:E90" si="5" xml:space="preserve"> D86-C86</f>
        <v>0</v>
      </c>
    </row>
    <row r="87" spans="2:11" x14ac:dyDescent="0.45">
      <c r="B87" s="5">
        <v>3</v>
      </c>
      <c r="C87" s="1">
        <v>10</v>
      </c>
      <c r="D87" s="1">
        <v>24</v>
      </c>
      <c r="E87" s="6">
        <f t="shared" si="5"/>
        <v>14</v>
      </c>
    </row>
    <row r="88" spans="2:11" x14ac:dyDescent="0.45">
      <c r="B88" s="5">
        <v>4</v>
      </c>
      <c r="C88" s="1">
        <v>33</v>
      </c>
      <c r="D88" s="1">
        <v>33</v>
      </c>
      <c r="E88" s="6">
        <f t="shared" si="5"/>
        <v>0</v>
      </c>
    </row>
    <row r="89" spans="2:11" x14ac:dyDescent="0.45">
      <c r="B89" s="5">
        <v>5</v>
      </c>
      <c r="C89" s="1">
        <v>46</v>
      </c>
      <c r="D89" s="1">
        <v>46</v>
      </c>
      <c r="E89" s="6">
        <f t="shared" si="5"/>
        <v>0</v>
      </c>
    </row>
    <row r="90" spans="2:11" ht="14.65" thickBot="1" x14ac:dyDescent="0.5">
      <c r="B90" s="7">
        <v>6</v>
      </c>
      <c r="C90" s="8">
        <v>60</v>
      </c>
      <c r="D90" s="8">
        <v>60</v>
      </c>
      <c r="E90" s="9">
        <f t="shared" si="5"/>
        <v>0</v>
      </c>
    </row>
    <row r="92" spans="2:11" ht="14.65" thickBot="1" x14ac:dyDescent="0.5"/>
    <row r="93" spans="2:11" x14ac:dyDescent="0.45">
      <c r="B93" s="2"/>
      <c r="C93" s="3" t="s">
        <v>86</v>
      </c>
      <c r="D93" s="3" t="s">
        <v>87</v>
      </c>
      <c r="E93" s="3" t="s">
        <v>88</v>
      </c>
      <c r="F93" s="3" t="s">
        <v>89</v>
      </c>
      <c r="G93" s="3" t="s">
        <v>1</v>
      </c>
      <c r="H93" s="3" t="s">
        <v>90</v>
      </c>
      <c r="I93" s="3" t="s">
        <v>91</v>
      </c>
      <c r="J93" s="3" t="s">
        <v>92</v>
      </c>
      <c r="K93" s="4" t="s">
        <v>93</v>
      </c>
    </row>
    <row r="94" spans="2:11" x14ac:dyDescent="0.45">
      <c r="B94" s="12" t="s">
        <v>2</v>
      </c>
      <c r="C94" s="1">
        <f>C85</f>
        <v>0</v>
      </c>
      <c r="D94" s="1">
        <f>C94+G94</f>
        <v>16</v>
      </c>
      <c r="E94" s="1">
        <f>D86</f>
        <v>16</v>
      </c>
      <c r="F94" s="1">
        <f>E94-G94</f>
        <v>0</v>
      </c>
      <c r="G94" s="1">
        <v>16</v>
      </c>
      <c r="H94" s="1">
        <f>D86-C85-G94</f>
        <v>0</v>
      </c>
      <c r="I94" s="1">
        <f>C86-D85-G94</f>
        <v>0</v>
      </c>
      <c r="J94" s="1">
        <f>D86-D85-G94</f>
        <v>0</v>
      </c>
      <c r="K94" s="6">
        <f>C86-C85-G94</f>
        <v>0</v>
      </c>
    </row>
    <row r="95" spans="2:11" x14ac:dyDescent="0.45">
      <c r="B95" s="12" t="s">
        <v>3</v>
      </c>
      <c r="C95" s="1">
        <f>C85</f>
        <v>0</v>
      </c>
      <c r="D95" s="1">
        <f t="shared" ref="D95:D103" si="6">C95+G95</f>
        <v>10</v>
      </c>
      <c r="E95" s="1">
        <f>D87</f>
        <v>24</v>
      </c>
      <c r="F95" s="1">
        <f t="shared" ref="F95:F103" si="7">E95-G95</f>
        <v>14</v>
      </c>
      <c r="G95" s="1">
        <v>10</v>
      </c>
      <c r="H95" s="1">
        <f>D87-C85-G95</f>
        <v>14</v>
      </c>
      <c r="I95" s="1">
        <f>C87-D85-G95</f>
        <v>0</v>
      </c>
      <c r="J95" s="1">
        <f>D87-D85-G95</f>
        <v>14</v>
      </c>
      <c r="K95" s="6">
        <f>C87-C85-G95</f>
        <v>0</v>
      </c>
    </row>
    <row r="96" spans="2:11" x14ac:dyDescent="0.45">
      <c r="B96" s="12" t="s">
        <v>4</v>
      </c>
      <c r="C96" s="1">
        <f>C85</f>
        <v>0</v>
      </c>
      <c r="D96" s="1">
        <f t="shared" si="6"/>
        <v>33.000000000000028</v>
      </c>
      <c r="E96" s="1">
        <f>D88</f>
        <v>33</v>
      </c>
      <c r="F96" s="1">
        <f t="shared" si="7"/>
        <v>0</v>
      </c>
      <c r="G96" s="1">
        <v>33.000000000000028</v>
      </c>
      <c r="H96" s="1">
        <f>D88-C85-G96</f>
        <v>0</v>
      </c>
      <c r="I96" s="1">
        <f>C88-D85-G96</f>
        <v>0</v>
      </c>
      <c r="J96" s="1">
        <f>D88-D85-G96</f>
        <v>0</v>
      </c>
      <c r="K96" s="6">
        <f>C88-C85-G96</f>
        <v>0</v>
      </c>
    </row>
    <row r="97" spans="2:11" x14ac:dyDescent="0.45">
      <c r="B97" s="12" t="s">
        <v>5</v>
      </c>
      <c r="C97" s="1">
        <f>C86</f>
        <v>16</v>
      </c>
      <c r="D97" s="1">
        <f t="shared" si="6"/>
        <v>33</v>
      </c>
      <c r="E97" s="1">
        <f>D88</f>
        <v>33</v>
      </c>
      <c r="F97" s="1">
        <f t="shared" si="7"/>
        <v>16.000000000000004</v>
      </c>
      <c r="G97" s="1">
        <v>16.999999999999996</v>
      </c>
      <c r="H97" s="1">
        <f>D88-C86-G97</f>
        <v>0</v>
      </c>
      <c r="I97" s="1">
        <f>C88-D86-G97</f>
        <v>0</v>
      </c>
      <c r="J97" s="1">
        <f>D88-D86-G97</f>
        <v>0</v>
      </c>
      <c r="K97" s="6">
        <f>C88-C86-G97</f>
        <v>0</v>
      </c>
    </row>
    <row r="98" spans="2:11" x14ac:dyDescent="0.45">
      <c r="B98" s="12" t="s">
        <v>6</v>
      </c>
      <c r="C98" s="1">
        <f>C86</f>
        <v>16</v>
      </c>
      <c r="D98" s="1">
        <f t="shared" si="6"/>
        <v>36</v>
      </c>
      <c r="E98" s="1">
        <f>D89</f>
        <v>46</v>
      </c>
      <c r="F98" s="1">
        <f t="shared" si="7"/>
        <v>26</v>
      </c>
      <c r="G98" s="1">
        <v>20</v>
      </c>
      <c r="H98" s="1">
        <f>D89-C86-G98</f>
        <v>10</v>
      </c>
      <c r="I98" s="1">
        <f>C89-D86-G98</f>
        <v>10</v>
      </c>
      <c r="J98" s="1">
        <f>D89-D86-G98</f>
        <v>10</v>
      </c>
      <c r="K98" s="6">
        <f>C89-C86-G98</f>
        <v>10</v>
      </c>
    </row>
    <row r="99" spans="2:11" x14ac:dyDescent="0.45">
      <c r="B99" s="12" t="s">
        <v>7</v>
      </c>
      <c r="C99" s="1">
        <f>C87</f>
        <v>10</v>
      </c>
      <c r="D99" s="1">
        <f t="shared" si="6"/>
        <v>19</v>
      </c>
      <c r="E99" s="1">
        <f>D88</f>
        <v>33</v>
      </c>
      <c r="F99" s="1">
        <f t="shared" si="7"/>
        <v>24</v>
      </c>
      <c r="G99" s="1">
        <v>9</v>
      </c>
      <c r="H99" s="1">
        <f>D88-C87-G99</f>
        <v>14</v>
      </c>
      <c r="I99" s="1">
        <f>C88-D87-G99</f>
        <v>0</v>
      </c>
      <c r="J99" s="1">
        <f>D88-D87-G99</f>
        <v>0</v>
      </c>
      <c r="K99" s="6">
        <f>C88-C87-G99</f>
        <v>14</v>
      </c>
    </row>
    <row r="100" spans="2:11" x14ac:dyDescent="0.45">
      <c r="B100" s="12" t="s">
        <v>8</v>
      </c>
      <c r="C100" s="1">
        <f>C87</f>
        <v>10</v>
      </c>
      <c r="D100" s="1">
        <f t="shared" si="6"/>
        <v>32</v>
      </c>
      <c r="E100" s="1">
        <f>D90</f>
        <v>60</v>
      </c>
      <c r="F100" s="1">
        <f t="shared" si="7"/>
        <v>38</v>
      </c>
      <c r="G100" s="1">
        <v>22</v>
      </c>
      <c r="H100" s="1">
        <f>D90-C87-G100</f>
        <v>28</v>
      </c>
      <c r="I100" s="1">
        <f>C90-D87-G100</f>
        <v>14</v>
      </c>
      <c r="J100" s="1">
        <f>D90-D87-G100</f>
        <v>14</v>
      </c>
      <c r="K100" s="6">
        <f>C90-C87-G100</f>
        <v>28</v>
      </c>
    </row>
    <row r="101" spans="2:11" x14ac:dyDescent="0.45">
      <c r="B101" s="12" t="s">
        <v>9</v>
      </c>
      <c r="C101" s="1">
        <f>C88</f>
        <v>33</v>
      </c>
      <c r="D101" s="1">
        <f t="shared" si="6"/>
        <v>45.999999999999986</v>
      </c>
      <c r="E101" s="1">
        <f>D89</f>
        <v>46</v>
      </c>
      <c r="F101" s="1">
        <f t="shared" si="7"/>
        <v>33.000000000000014</v>
      </c>
      <c r="G101" s="1">
        <v>12.999999999999986</v>
      </c>
      <c r="H101" s="53">
        <f>D89-C88-G101</f>
        <v>1.4210854715202004E-14</v>
      </c>
      <c r="I101" s="53">
        <f>C89-D88-G101</f>
        <v>1.4210854715202004E-14</v>
      </c>
      <c r="J101" s="53">
        <f>D89-D88-G101</f>
        <v>1.4210854715202004E-14</v>
      </c>
      <c r="K101" s="54">
        <f>C89-C88-G101</f>
        <v>1.4210854715202004E-14</v>
      </c>
    </row>
    <row r="102" spans="2:11" x14ac:dyDescent="0.45">
      <c r="B102" s="12" t="s">
        <v>10</v>
      </c>
      <c r="C102" s="1">
        <f>C88</f>
        <v>33</v>
      </c>
      <c r="D102" s="1">
        <f t="shared" si="6"/>
        <v>53</v>
      </c>
      <c r="E102" s="1">
        <f>D90</f>
        <v>60</v>
      </c>
      <c r="F102" s="1">
        <f t="shared" si="7"/>
        <v>40</v>
      </c>
      <c r="G102" s="1">
        <v>20</v>
      </c>
      <c r="H102" s="1">
        <f>D90-C88-G102</f>
        <v>7</v>
      </c>
      <c r="I102" s="1">
        <f>C90-D88-G102</f>
        <v>7</v>
      </c>
      <c r="J102" s="1">
        <f>D90-D88-G102</f>
        <v>7</v>
      </c>
      <c r="K102" s="6">
        <f>C90-C88-G102</f>
        <v>7</v>
      </c>
    </row>
    <row r="103" spans="2:11" ht="14.65" thickBot="1" x14ac:dyDescent="0.5">
      <c r="B103" s="13" t="s">
        <v>11</v>
      </c>
      <c r="C103" s="8">
        <f>C89</f>
        <v>46</v>
      </c>
      <c r="D103" s="8">
        <f t="shared" si="6"/>
        <v>60.000000000000057</v>
      </c>
      <c r="E103" s="8">
        <f>D90</f>
        <v>60</v>
      </c>
      <c r="F103" s="8">
        <f t="shared" si="7"/>
        <v>45.999999999999943</v>
      </c>
      <c r="G103" s="8">
        <v>14.000000000000057</v>
      </c>
      <c r="H103" s="55">
        <f>D90-C89-G103</f>
        <v>-5.6843418860808015E-14</v>
      </c>
      <c r="I103" s="55">
        <f>C90-D89-G103</f>
        <v>-5.6843418860808015E-14</v>
      </c>
      <c r="J103" s="55">
        <f>D90-D89-G103</f>
        <v>-5.6843418860808015E-14</v>
      </c>
      <c r="K103" s="56">
        <f>C90-C89-G103</f>
        <v>-5.6843418860808015E-14</v>
      </c>
    </row>
    <row r="126" spans="2:5" ht="14.65" thickBot="1" x14ac:dyDescent="0.5"/>
    <row r="127" spans="2:5" ht="10.9" customHeight="1" x14ac:dyDescent="0.45">
      <c r="B127" s="2"/>
      <c r="C127" s="3" t="s">
        <v>84</v>
      </c>
      <c r="D127" s="3" t="s">
        <v>97</v>
      </c>
      <c r="E127" s="4" t="s">
        <v>0</v>
      </c>
    </row>
    <row r="128" spans="2:5" ht="10.9" customHeight="1" x14ac:dyDescent="0.45">
      <c r="B128" s="5">
        <v>1</v>
      </c>
      <c r="C128" s="1">
        <v>0</v>
      </c>
      <c r="D128" s="1">
        <v>0</v>
      </c>
      <c r="E128" s="6">
        <f xml:space="preserve"> D128-C128</f>
        <v>0</v>
      </c>
    </row>
    <row r="129" spans="2:14" ht="10.9" customHeight="1" x14ac:dyDescent="0.45">
      <c r="B129" s="5">
        <v>2</v>
      </c>
      <c r="C129" s="1">
        <v>10</v>
      </c>
      <c r="D129" s="1">
        <v>10</v>
      </c>
      <c r="E129" s="6">
        <f t="shared" ref="E129:E133" si="8" xml:space="preserve"> D129-C129</f>
        <v>0</v>
      </c>
    </row>
    <row r="130" spans="2:14" ht="10.9" customHeight="1" x14ac:dyDescent="0.45">
      <c r="B130" s="5">
        <v>3</v>
      </c>
      <c r="C130" s="1">
        <v>22</v>
      </c>
      <c r="D130" s="1">
        <v>22</v>
      </c>
      <c r="E130" s="6">
        <f t="shared" si="8"/>
        <v>0</v>
      </c>
    </row>
    <row r="131" spans="2:14" ht="10.9" customHeight="1" x14ac:dyDescent="0.45">
      <c r="B131" s="5">
        <v>4</v>
      </c>
      <c r="C131" s="1">
        <v>29</v>
      </c>
      <c r="D131" s="1">
        <v>29</v>
      </c>
      <c r="E131" s="6">
        <f t="shared" si="8"/>
        <v>0</v>
      </c>
    </row>
    <row r="132" spans="2:14" ht="10.9" customHeight="1" x14ac:dyDescent="0.45">
      <c r="B132" s="5">
        <v>5</v>
      </c>
      <c r="C132" s="1">
        <v>40</v>
      </c>
      <c r="D132" s="1">
        <v>40</v>
      </c>
      <c r="E132" s="6">
        <f t="shared" si="8"/>
        <v>0</v>
      </c>
    </row>
    <row r="133" spans="2:14" ht="10.9" customHeight="1" thickBot="1" x14ac:dyDescent="0.5">
      <c r="B133" s="7">
        <v>6</v>
      </c>
      <c r="C133" s="8">
        <v>40</v>
      </c>
      <c r="D133" s="8">
        <v>40</v>
      </c>
      <c r="E133" s="9">
        <f t="shared" si="8"/>
        <v>0</v>
      </c>
    </row>
    <row r="134" spans="2:14" ht="14.65" thickBot="1" x14ac:dyDescent="0.5"/>
    <row r="135" spans="2:14" ht="14.65" thickBot="1" x14ac:dyDescent="0.5">
      <c r="B135" s="34"/>
      <c r="C135" s="35"/>
      <c r="D135" s="35"/>
      <c r="E135" s="35"/>
      <c r="F135" s="35"/>
      <c r="G135" s="35"/>
      <c r="H135" s="35"/>
      <c r="I135" s="35"/>
      <c r="J135" s="35"/>
      <c r="K135" s="35"/>
      <c r="L135" s="35"/>
      <c r="M135" s="35"/>
      <c r="N135" s="36"/>
    </row>
    <row r="136" spans="2:14" ht="14.65" thickBot="1" x14ac:dyDescent="0.5">
      <c r="B136" s="14" t="s">
        <v>98</v>
      </c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6"/>
    </row>
    <row r="137" spans="2:14" ht="14.65" thickBot="1" x14ac:dyDescent="0.5">
      <c r="B137" s="37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38"/>
    </row>
    <row r="138" spans="2:14" ht="14.65" thickBot="1" x14ac:dyDescent="0.5">
      <c r="B138" s="14" t="s">
        <v>99</v>
      </c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6"/>
    </row>
    <row r="139" spans="2:14" x14ac:dyDescent="0.45">
      <c r="B139" s="37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38"/>
    </row>
    <row r="140" spans="2:14" x14ac:dyDescent="0.45">
      <c r="B140" s="37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38"/>
    </row>
    <row r="141" spans="2:14" ht="14.65" thickBot="1" x14ac:dyDescent="0.5">
      <c r="B141" s="37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38"/>
    </row>
    <row r="142" spans="2:14" x14ac:dyDescent="0.45">
      <c r="B142" s="18" t="s">
        <v>100</v>
      </c>
      <c r="C142" s="19"/>
      <c r="D142" s="10"/>
      <c r="E142" s="18" t="s">
        <v>101</v>
      </c>
      <c r="F142" s="24"/>
      <c r="G142" s="19"/>
      <c r="H142" s="10"/>
      <c r="I142" s="18" t="s">
        <v>18</v>
      </c>
      <c r="J142" s="19"/>
      <c r="K142" s="10"/>
      <c r="L142" s="2" t="s">
        <v>19</v>
      </c>
      <c r="M142" s="3" t="s">
        <v>102</v>
      </c>
      <c r="N142" s="4" t="s">
        <v>21</v>
      </c>
    </row>
    <row r="143" spans="2:14" x14ac:dyDescent="0.45">
      <c r="B143" s="20" t="s">
        <v>103</v>
      </c>
      <c r="C143" s="21"/>
      <c r="D143" s="10"/>
      <c r="E143" s="20" t="s">
        <v>104</v>
      </c>
      <c r="F143" s="17"/>
      <c r="G143" s="21"/>
      <c r="H143" s="10"/>
      <c r="I143" s="20" t="s">
        <v>24</v>
      </c>
      <c r="J143" s="21"/>
      <c r="K143" s="10"/>
      <c r="L143" s="5" t="s">
        <v>25</v>
      </c>
      <c r="M143" s="1" t="s">
        <v>26</v>
      </c>
      <c r="N143" s="6" t="s">
        <v>27</v>
      </c>
    </row>
    <row r="144" spans="2:14" x14ac:dyDescent="0.45">
      <c r="B144" s="20" t="s">
        <v>105</v>
      </c>
      <c r="C144" s="21"/>
      <c r="D144" s="10"/>
      <c r="E144" s="20" t="s">
        <v>106</v>
      </c>
      <c r="F144" s="17"/>
      <c r="G144" s="21"/>
      <c r="H144" s="10"/>
      <c r="I144" s="20" t="s">
        <v>30</v>
      </c>
      <c r="J144" s="21"/>
      <c r="K144" s="10"/>
      <c r="L144" s="5" t="s">
        <v>31</v>
      </c>
      <c r="M144" s="1" t="s">
        <v>32</v>
      </c>
      <c r="N144" s="6" t="s">
        <v>33</v>
      </c>
    </row>
    <row r="145" spans="2:14" x14ac:dyDescent="0.45">
      <c r="B145" s="20" t="s">
        <v>107</v>
      </c>
      <c r="C145" s="21"/>
      <c r="D145" s="10"/>
      <c r="E145" s="20" t="s">
        <v>108</v>
      </c>
      <c r="F145" s="17"/>
      <c r="G145" s="21"/>
      <c r="H145" s="10"/>
      <c r="I145" s="20" t="s">
        <v>109</v>
      </c>
      <c r="J145" s="21"/>
      <c r="K145" s="10"/>
      <c r="L145" s="5" t="s">
        <v>110</v>
      </c>
      <c r="M145" s="1" t="s">
        <v>111</v>
      </c>
      <c r="N145" s="6" t="s">
        <v>112</v>
      </c>
    </row>
    <row r="146" spans="2:14" x14ac:dyDescent="0.45">
      <c r="B146" s="20" t="s">
        <v>113</v>
      </c>
      <c r="C146" s="21"/>
      <c r="D146" s="10"/>
      <c r="E146" s="20" t="s">
        <v>114</v>
      </c>
      <c r="F146" s="17"/>
      <c r="G146" s="21"/>
      <c r="H146" s="10"/>
      <c r="I146" s="20" t="s">
        <v>48</v>
      </c>
      <c r="J146" s="21"/>
      <c r="K146" s="10"/>
      <c r="L146" s="5" t="s">
        <v>49</v>
      </c>
      <c r="M146" s="1" t="s">
        <v>50</v>
      </c>
      <c r="N146" s="6" t="s">
        <v>51</v>
      </c>
    </row>
    <row r="147" spans="2:14" x14ac:dyDescent="0.45">
      <c r="B147" s="20" t="s">
        <v>115</v>
      </c>
      <c r="C147" s="21"/>
      <c r="D147" s="10"/>
      <c r="E147" s="20" t="s">
        <v>116</v>
      </c>
      <c r="F147" s="17"/>
      <c r="G147" s="21"/>
      <c r="H147" s="10"/>
      <c r="I147" s="20" t="s">
        <v>117</v>
      </c>
      <c r="J147" s="21"/>
      <c r="K147" s="10"/>
      <c r="L147" s="5" t="s">
        <v>118</v>
      </c>
      <c r="M147" s="1" t="s">
        <v>119</v>
      </c>
      <c r="N147" s="6" t="s">
        <v>120</v>
      </c>
    </row>
    <row r="148" spans="2:14" ht="14.65" thickBot="1" x14ac:dyDescent="0.5">
      <c r="B148" s="20" t="s">
        <v>121</v>
      </c>
      <c r="C148" s="21"/>
      <c r="D148" s="10"/>
      <c r="E148" s="22" t="s">
        <v>122</v>
      </c>
      <c r="F148" s="25"/>
      <c r="G148" s="23"/>
      <c r="H148" s="10"/>
      <c r="I148" s="20" t="s">
        <v>123</v>
      </c>
      <c r="J148" s="21"/>
      <c r="K148" s="10"/>
      <c r="L148" s="5" t="s">
        <v>61</v>
      </c>
      <c r="M148" s="1" t="s">
        <v>62</v>
      </c>
      <c r="N148" s="6" t="s">
        <v>63</v>
      </c>
    </row>
    <row r="149" spans="2:14" ht="14.65" thickBot="1" x14ac:dyDescent="0.5">
      <c r="B149" s="22" t="s">
        <v>124</v>
      </c>
      <c r="C149" s="23"/>
      <c r="D149" s="10"/>
      <c r="E149" s="10"/>
      <c r="F149" s="10"/>
      <c r="G149" s="10"/>
      <c r="H149" s="10"/>
      <c r="I149" s="20" t="s">
        <v>125</v>
      </c>
      <c r="J149" s="21"/>
      <c r="K149" s="10"/>
      <c r="L149" s="7" t="s">
        <v>73</v>
      </c>
      <c r="M149" s="8" t="s">
        <v>74</v>
      </c>
      <c r="N149" s="9"/>
    </row>
    <row r="150" spans="2:14" x14ac:dyDescent="0.45">
      <c r="B150" s="37"/>
      <c r="C150" s="10"/>
      <c r="D150" s="10"/>
      <c r="E150" s="10"/>
      <c r="F150" s="10"/>
      <c r="G150" s="10"/>
      <c r="H150" s="10"/>
      <c r="I150" s="20" t="s">
        <v>60</v>
      </c>
      <c r="J150" s="21"/>
      <c r="K150" s="10"/>
      <c r="L150" s="10"/>
      <c r="M150" s="10"/>
      <c r="N150" s="38"/>
    </row>
    <row r="151" spans="2:14" x14ac:dyDescent="0.45">
      <c r="B151" s="37"/>
      <c r="C151" s="10"/>
      <c r="D151" s="10"/>
      <c r="E151" s="10"/>
      <c r="F151" s="10"/>
      <c r="G151" s="10"/>
      <c r="H151" s="10"/>
      <c r="I151" s="20" t="s">
        <v>72</v>
      </c>
      <c r="J151" s="21"/>
      <c r="K151" s="10"/>
      <c r="L151" s="10"/>
      <c r="M151" s="10"/>
      <c r="N151" s="38"/>
    </row>
    <row r="152" spans="2:14" x14ac:dyDescent="0.45">
      <c r="B152" s="37"/>
      <c r="C152" s="10"/>
      <c r="D152" s="10"/>
      <c r="E152" s="10"/>
      <c r="F152" s="10"/>
      <c r="G152" s="10"/>
      <c r="H152" s="10"/>
      <c r="I152" s="20" t="s">
        <v>79</v>
      </c>
      <c r="J152" s="21"/>
      <c r="K152" s="10"/>
      <c r="L152" s="10"/>
      <c r="M152" s="10"/>
      <c r="N152" s="38"/>
    </row>
    <row r="153" spans="2:14" ht="14.65" thickBot="1" x14ac:dyDescent="0.5">
      <c r="B153" s="37"/>
      <c r="C153" s="10"/>
      <c r="D153" s="10"/>
      <c r="E153" s="10"/>
      <c r="F153" s="10"/>
      <c r="G153" s="10"/>
      <c r="H153" s="10"/>
      <c r="I153" s="22" t="s">
        <v>126</v>
      </c>
      <c r="J153" s="23"/>
      <c r="K153" s="10"/>
      <c r="L153" s="10"/>
      <c r="M153" s="10"/>
      <c r="N153" s="38"/>
    </row>
    <row r="154" spans="2:14" ht="14.65" thickBot="1" x14ac:dyDescent="0.5">
      <c r="B154" s="39"/>
      <c r="C154" s="40"/>
      <c r="D154" s="40"/>
      <c r="E154" s="40"/>
      <c r="F154" s="40"/>
      <c r="G154" s="40"/>
      <c r="H154" s="40"/>
      <c r="I154" s="40"/>
      <c r="J154" s="40"/>
      <c r="K154" s="40"/>
      <c r="L154" s="40"/>
      <c r="M154" s="40"/>
      <c r="N154" s="41"/>
    </row>
    <row r="156" spans="2:14" ht="14.65" thickBot="1" x14ac:dyDescent="0.5"/>
    <row r="157" spans="2:14" x14ac:dyDescent="0.45">
      <c r="B157" s="2"/>
      <c r="C157" s="3" t="s">
        <v>1</v>
      </c>
      <c r="D157" s="3" t="s">
        <v>81</v>
      </c>
      <c r="E157" s="3" t="s">
        <v>82</v>
      </c>
      <c r="F157" s="3" t="s">
        <v>94</v>
      </c>
      <c r="G157" s="3" t="s">
        <v>95</v>
      </c>
      <c r="H157" s="3" t="s">
        <v>83</v>
      </c>
      <c r="I157" s="4" t="s">
        <v>96</v>
      </c>
    </row>
    <row r="158" spans="2:14" x14ac:dyDescent="0.45">
      <c r="B158" s="12" t="s">
        <v>2</v>
      </c>
      <c r="C158" s="1">
        <v>13</v>
      </c>
      <c r="D158" s="1">
        <v>10</v>
      </c>
      <c r="E158" s="1">
        <v>0.3</v>
      </c>
      <c r="F158" s="1">
        <v>0</v>
      </c>
      <c r="G158" s="1">
        <f>F158+I158</f>
        <v>10.000000000000007</v>
      </c>
      <c r="H158" s="1">
        <v>9.9999999999999769</v>
      </c>
      <c r="I158" s="6">
        <f>C158-E158*H158</f>
        <v>10.000000000000007</v>
      </c>
    </row>
    <row r="159" spans="2:14" x14ac:dyDescent="0.45">
      <c r="B159" s="12" t="s">
        <v>3</v>
      </c>
      <c r="C159" s="1">
        <v>22</v>
      </c>
      <c r="D159" s="1">
        <v>18</v>
      </c>
      <c r="E159" s="1">
        <v>0.1</v>
      </c>
      <c r="F159" s="1">
        <v>2</v>
      </c>
      <c r="G159" s="1">
        <f t="shared" ref="G159:G164" si="9">F159+I159</f>
        <v>24</v>
      </c>
      <c r="H159" s="1">
        <v>0</v>
      </c>
      <c r="I159" s="6">
        <f t="shared" ref="I159:I163" si="10">C159-E159*H159</f>
        <v>22</v>
      </c>
    </row>
    <row r="160" spans="2:14" x14ac:dyDescent="0.45">
      <c r="B160" s="12" t="s">
        <v>4</v>
      </c>
      <c r="C160" s="1">
        <v>19</v>
      </c>
      <c r="D160" s="1">
        <v>15</v>
      </c>
      <c r="E160" s="1">
        <v>0.05</v>
      </c>
      <c r="F160" s="1">
        <v>14</v>
      </c>
      <c r="G160" s="1">
        <f t="shared" si="9"/>
        <v>33</v>
      </c>
      <c r="H160" s="1">
        <v>0</v>
      </c>
      <c r="I160" s="6">
        <f t="shared" si="10"/>
        <v>19</v>
      </c>
    </row>
    <row r="161" spans="2:9" x14ac:dyDescent="0.45">
      <c r="B161" s="12" t="s">
        <v>127</v>
      </c>
      <c r="C161" s="1">
        <v>17</v>
      </c>
      <c r="D161" s="1">
        <v>14</v>
      </c>
      <c r="E161" s="1">
        <v>0.2</v>
      </c>
      <c r="F161" s="1">
        <v>10</v>
      </c>
      <c r="G161" s="1">
        <f t="shared" si="9"/>
        <v>23.999999999999989</v>
      </c>
      <c r="H161" s="1">
        <v>15.000000000000053</v>
      </c>
      <c r="I161" s="6">
        <f t="shared" si="10"/>
        <v>13.999999999999989</v>
      </c>
    </row>
    <row r="162" spans="2:9" x14ac:dyDescent="0.45">
      <c r="B162" s="12" t="s">
        <v>7</v>
      </c>
      <c r="C162" s="1">
        <v>10</v>
      </c>
      <c r="D162" s="1">
        <v>7</v>
      </c>
      <c r="E162" s="1">
        <v>0.4</v>
      </c>
      <c r="F162" s="1">
        <v>24</v>
      </c>
      <c r="G162" s="1">
        <f t="shared" si="9"/>
        <v>33</v>
      </c>
      <c r="H162" s="1">
        <v>2.4999999999999978</v>
      </c>
      <c r="I162" s="6">
        <f t="shared" si="10"/>
        <v>9</v>
      </c>
    </row>
    <row r="163" spans="2:9" x14ac:dyDescent="0.45">
      <c r="B163" s="12" t="s">
        <v>128</v>
      </c>
      <c r="C163" s="1">
        <v>25</v>
      </c>
      <c r="D163" s="1">
        <v>21</v>
      </c>
      <c r="E163" s="1">
        <v>0.2</v>
      </c>
      <c r="F163" s="1">
        <v>24</v>
      </c>
      <c r="G163" s="1">
        <f t="shared" si="9"/>
        <v>44.999999999999986</v>
      </c>
      <c r="H163" s="1">
        <v>20.000000000000071</v>
      </c>
      <c r="I163" s="6">
        <f t="shared" si="10"/>
        <v>20.999999999999986</v>
      </c>
    </row>
    <row r="164" spans="2:9" x14ac:dyDescent="0.45">
      <c r="B164" s="12" t="s">
        <v>9</v>
      </c>
      <c r="C164" s="1">
        <v>12</v>
      </c>
      <c r="D164" s="1">
        <v>9</v>
      </c>
      <c r="E164" s="1">
        <v>0.25</v>
      </c>
      <c r="F164" s="1">
        <v>33</v>
      </c>
      <c r="G164" s="1">
        <f t="shared" si="9"/>
        <v>45</v>
      </c>
      <c r="H164" s="1">
        <v>0</v>
      </c>
      <c r="I164" s="6">
        <f>C164-E164*H164</f>
        <v>12</v>
      </c>
    </row>
    <row r="165" spans="2:9" x14ac:dyDescent="0.45">
      <c r="B165" s="58" t="s">
        <v>11</v>
      </c>
      <c r="C165" s="57">
        <v>0</v>
      </c>
      <c r="D165" s="57">
        <v>0</v>
      </c>
      <c r="E165" s="57">
        <v>0</v>
      </c>
      <c r="F165" s="57">
        <v>45</v>
      </c>
      <c r="G165" s="57">
        <f>F165+I165</f>
        <v>45</v>
      </c>
      <c r="H165" s="57">
        <v>0</v>
      </c>
      <c r="I165" s="59">
        <f>C165-E165*H165</f>
        <v>0</v>
      </c>
    </row>
    <row r="166" spans="2:9" ht="14.65" thickBot="1" x14ac:dyDescent="0.5">
      <c r="B166" s="60"/>
      <c r="C166" s="61"/>
      <c r="D166" s="61"/>
      <c r="E166" s="61"/>
      <c r="F166" s="61"/>
      <c r="G166" s="62"/>
      <c r="H166" s="8">
        <f>SUM(H158:H165)</f>
        <v>47.500000000000099</v>
      </c>
      <c r="I166" s="33"/>
    </row>
  </sheetData>
  <mergeCells count="70">
    <mergeCell ref="I153:J153"/>
    <mergeCell ref="B138:N138"/>
    <mergeCell ref="B136:N136"/>
    <mergeCell ref="B166:G166"/>
    <mergeCell ref="I148:J148"/>
    <mergeCell ref="I149:J149"/>
    <mergeCell ref="I150:J150"/>
    <mergeCell ref="I151:J151"/>
    <mergeCell ref="I152:J152"/>
    <mergeCell ref="I143:J143"/>
    <mergeCell ref="I144:J144"/>
    <mergeCell ref="I145:J145"/>
    <mergeCell ref="I146:J146"/>
    <mergeCell ref="I147:J147"/>
    <mergeCell ref="B148:C148"/>
    <mergeCell ref="B149:C149"/>
    <mergeCell ref="E142:G142"/>
    <mergeCell ref="E143:G143"/>
    <mergeCell ref="E144:G144"/>
    <mergeCell ref="E145:G145"/>
    <mergeCell ref="E146:G146"/>
    <mergeCell ref="E147:G147"/>
    <mergeCell ref="E148:G148"/>
    <mergeCell ref="B143:C143"/>
    <mergeCell ref="B144:C144"/>
    <mergeCell ref="B145:C145"/>
    <mergeCell ref="B146:C146"/>
    <mergeCell ref="B147:C147"/>
    <mergeCell ref="B50:N50"/>
    <mergeCell ref="B81:G81"/>
    <mergeCell ref="B142:C142"/>
    <mergeCell ref="I142:J142"/>
    <mergeCell ref="B56:C56"/>
    <mergeCell ref="B57:C57"/>
    <mergeCell ref="B58:C58"/>
    <mergeCell ref="B59:C59"/>
    <mergeCell ref="I62:J62"/>
    <mergeCell ref="I63:J63"/>
    <mergeCell ref="I64:J64"/>
    <mergeCell ref="I65:J65"/>
    <mergeCell ref="I66:J66"/>
    <mergeCell ref="E61:G61"/>
    <mergeCell ref="I52:J52"/>
    <mergeCell ref="I53:J53"/>
    <mergeCell ref="I54:J54"/>
    <mergeCell ref="I55:J55"/>
    <mergeCell ref="I56:J56"/>
    <mergeCell ref="I57:J57"/>
    <mergeCell ref="I58:J58"/>
    <mergeCell ref="I59:J59"/>
    <mergeCell ref="I60:J60"/>
    <mergeCell ref="I61:J61"/>
    <mergeCell ref="E56:G56"/>
    <mergeCell ref="E57:G57"/>
    <mergeCell ref="E58:G58"/>
    <mergeCell ref="E59:G59"/>
    <mergeCell ref="E60:G60"/>
    <mergeCell ref="B54:C54"/>
    <mergeCell ref="E52:G52"/>
    <mergeCell ref="E53:G53"/>
    <mergeCell ref="E54:G54"/>
    <mergeCell ref="E55:G55"/>
    <mergeCell ref="B60:C60"/>
    <mergeCell ref="B61:C61"/>
    <mergeCell ref="B62:C62"/>
    <mergeCell ref="B63:C63"/>
    <mergeCell ref="B64:C64"/>
    <mergeCell ref="B65:C65"/>
    <mergeCell ref="B52:C52"/>
    <mergeCell ref="B53:C5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Александр Ушаков</dc:creator>
  <cp:lastModifiedBy>Александр Ушаков</cp:lastModifiedBy>
  <dcterms:created xsi:type="dcterms:W3CDTF">2015-06-05T18:17:20Z</dcterms:created>
  <dcterms:modified xsi:type="dcterms:W3CDTF">2025-10-08T22:11:13Z</dcterms:modified>
</cp:coreProperties>
</file>