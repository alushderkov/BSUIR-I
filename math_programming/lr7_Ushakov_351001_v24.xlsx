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suir\mp7\"/>
    </mc:Choice>
  </mc:AlternateContent>
  <xr:revisionPtr revIDLastSave="0" documentId="13_ncr:1_{DE37DCE8-D2A2-4C23-BEB2-AD70841401D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3" i="2" l="1"/>
  <c r="I23" i="2"/>
  <c r="H23" i="2"/>
  <c r="J22" i="2"/>
  <c r="I22" i="2"/>
  <c r="H22" i="2"/>
  <c r="J21" i="2"/>
  <c r="I21" i="2"/>
  <c r="H21" i="2"/>
  <c r="J20" i="2"/>
  <c r="I20" i="2"/>
  <c r="H20" i="2"/>
  <c r="J19" i="2"/>
  <c r="I19" i="2"/>
  <c r="H19" i="2"/>
  <c r="G8" i="2"/>
  <c r="J8" i="2" s="1"/>
  <c r="G7" i="2"/>
  <c r="J7" i="2" s="1"/>
  <c r="G6" i="2"/>
  <c r="J6" i="2" s="1"/>
  <c r="G5" i="2"/>
  <c r="J5" i="2" s="1"/>
  <c r="G4" i="2"/>
  <c r="J4" i="2" s="1"/>
  <c r="C20" i="1"/>
  <c r="S16" i="1"/>
  <c r="K16" i="1"/>
  <c r="J16" i="1"/>
  <c r="C21" i="1" s="1"/>
  <c r="I16" i="1"/>
  <c r="H16" i="1"/>
  <c r="G16" i="1"/>
  <c r="S15" i="1"/>
  <c r="R15" i="1"/>
  <c r="R16" i="1" s="1"/>
  <c r="Q15" i="1"/>
  <c r="Q16" i="1" s="1"/>
  <c r="P15" i="1"/>
  <c r="P16" i="1" s="1"/>
  <c r="O15" i="1"/>
  <c r="O16" i="1" s="1"/>
  <c r="N15" i="1"/>
  <c r="N16" i="1" s="1"/>
  <c r="M15" i="1"/>
  <c r="M16" i="1" s="1"/>
  <c r="L15" i="1"/>
  <c r="L16" i="1" s="1"/>
  <c r="K15" i="1"/>
  <c r="J15" i="1"/>
  <c r="I15" i="1"/>
  <c r="H15" i="1"/>
  <c r="G15" i="1"/>
  <c r="F15" i="1"/>
  <c r="F16" i="1" s="1"/>
  <c r="E15" i="1"/>
  <c r="E16" i="1" s="1"/>
  <c r="D15" i="1"/>
  <c r="D16" i="1" s="1"/>
  <c r="C15" i="1"/>
  <c r="C16" i="1" s="1"/>
  <c r="C18" i="1" s="1"/>
  <c r="J9" i="1"/>
  <c r="I9" i="1"/>
  <c r="H9" i="1"/>
  <c r="G9" i="1"/>
  <c r="F9" i="1"/>
  <c r="E9" i="1"/>
  <c r="D9" i="1"/>
  <c r="C9" i="1"/>
  <c r="J8" i="1"/>
  <c r="I8" i="1"/>
  <c r="H8" i="1"/>
  <c r="G8" i="1"/>
  <c r="F8" i="1"/>
  <c r="E8" i="1"/>
  <c r="D8" i="1"/>
  <c r="C8" i="1"/>
  <c r="J5" i="1"/>
  <c r="I5" i="1"/>
  <c r="H5" i="1"/>
  <c r="G5" i="1"/>
  <c r="J4" i="1"/>
  <c r="I4" i="1"/>
  <c r="H4" i="1"/>
  <c r="G4" i="1"/>
  <c r="F4" i="1"/>
  <c r="F5" i="1" s="1"/>
  <c r="E4" i="1"/>
  <c r="E5" i="1" s="1"/>
  <c r="D4" i="1"/>
  <c r="D5" i="1" s="1"/>
  <c r="C4" i="1"/>
  <c r="C5" i="1" s="1"/>
  <c r="H24" i="2" l="1"/>
  <c r="I24" i="2"/>
  <c r="J24" i="2"/>
  <c r="D36" i="2" s="1"/>
  <c r="J9" i="2"/>
  <c r="C15" i="2"/>
  <c r="D35" i="2"/>
  <c r="H6" i="2"/>
  <c r="I6" i="2"/>
  <c r="H4" i="2"/>
  <c r="H7" i="2"/>
  <c r="I4" i="2"/>
  <c r="I7" i="2"/>
  <c r="H5" i="2"/>
  <c r="H8" i="2"/>
  <c r="I5" i="2"/>
  <c r="I8" i="2"/>
  <c r="R28" i="2" l="1"/>
  <c r="F36" i="2" s="1"/>
  <c r="I9" i="2"/>
  <c r="H9" i="2"/>
  <c r="R13" i="2" s="1"/>
  <c r="F35" i="2" s="1"/>
</calcChain>
</file>

<file path=xl/sharedStrings.xml><?xml version="1.0" encoding="utf-8"?>
<sst xmlns="http://schemas.openxmlformats.org/spreadsheetml/2006/main" count="155" uniqueCount="73">
  <si>
    <t>Номер отсчета</t>
  </si>
  <si>
    <t>x</t>
  </si>
  <si>
    <t>f(x)</t>
  </si>
  <si>
    <t>x*</t>
  </si>
  <si>
    <r>
      <t>min f(x</t>
    </r>
    <r>
      <rPr>
        <sz val="8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)</t>
    </r>
  </si>
  <si>
    <r>
      <t>f(x</t>
    </r>
    <r>
      <rPr>
        <sz val="8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)</t>
    </r>
  </si>
  <si>
    <r>
      <t>f* = f(x</t>
    </r>
    <r>
      <rPr>
        <sz val="8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)</t>
    </r>
  </si>
  <si>
    <r>
      <t>Δ</t>
    </r>
    <r>
      <rPr>
        <sz val="8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= [x</t>
    </r>
    <r>
      <rPr>
        <sz val="8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,x</t>
    </r>
    <r>
      <rPr>
        <sz val="8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] = [3.1111111, 4]</t>
    </r>
  </si>
  <si>
    <r>
      <t>x</t>
    </r>
    <r>
      <rPr>
        <sz val="8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= 0 + (8 - 0)/(17 + 1)i  = 8i/18</t>
    </r>
  </si>
  <si>
    <t>Номер итерации</t>
  </si>
  <si>
    <t>x1(j)</t>
  </si>
  <si>
    <t>x2(j)</t>
  </si>
  <si>
    <t>f1(j)</t>
  </si>
  <si>
    <t>≤
&gt;</t>
  </si>
  <si>
    <t>f2(j)</t>
  </si>
  <si>
    <t>a(j)</t>
  </si>
  <si>
    <t>b(j)</t>
  </si>
  <si>
    <t>&lt;</t>
  </si>
  <si>
    <t>&gt;</t>
  </si>
  <si>
    <t xml:space="preserve">Δ = [3.425391, 3.55625] </t>
  </si>
  <si>
    <t>a</t>
  </si>
  <si>
    <t>b</t>
  </si>
  <si>
    <t>N</t>
  </si>
  <si>
    <t>ε</t>
  </si>
  <si>
    <t>a(8)</t>
  </si>
  <si>
    <t>b(4)</t>
  </si>
  <si>
    <t>x2(8)</t>
  </si>
  <si>
    <t>x2(7)</t>
  </si>
  <si>
    <t>x2(6)</t>
  </si>
  <si>
    <t>x1(4)</t>
  </si>
  <si>
    <t>f(a(8))</t>
  </si>
  <si>
    <t>f(b(4))</t>
  </si>
  <si>
    <t>f(x2(8))</t>
  </si>
  <si>
    <t>f(x2(7))</t>
  </si>
  <si>
    <t>f(x2(6))</t>
  </si>
  <si>
    <t>f(x1(4))</t>
  </si>
  <si>
    <t>=</t>
  </si>
  <si>
    <t xml:space="preserve">Δ16 = [3.49226, 3.49845201] </t>
  </si>
  <si>
    <t>e</t>
  </si>
  <si>
    <t>x* = x1(15)</t>
  </si>
  <si>
    <t>f* = f(x1(15))</t>
  </si>
  <si>
    <t xml:space="preserve">Δ16 = [3.495688, 3.501553] </t>
  </si>
  <si>
    <t>Ф1</t>
  </si>
  <si>
    <t>Ф2</t>
  </si>
  <si>
    <t>x* = x2(15)</t>
  </si>
  <si>
    <t>f* = f(x2(15))</t>
  </si>
  <si>
    <t>i</t>
  </si>
  <si>
    <t>Vi</t>
  </si>
  <si>
    <t>Ki</t>
  </si>
  <si>
    <t>Si</t>
  </si>
  <si>
    <t>fi</t>
  </si>
  <si>
    <t>qi0</t>
  </si>
  <si>
    <t>Ki*Vi/qi0</t>
  </si>
  <si>
    <t>Si*qi0</t>
  </si>
  <si>
    <t>fi*qi</t>
  </si>
  <si>
    <t>L = K1*v1/q1 0 + s1*q1 0/2 + K2*v2/q2 0 + s2*q2 0/2 + K3*v3/q3 0 + s3*q3 0/2 + K4*v4/q4 0 + s4*q4 0/2 + K5*v5/q5 0 + s5*q5 0/2</t>
  </si>
  <si>
    <t xml:space="preserve"> </t>
  </si>
  <si>
    <t>результат системы</t>
  </si>
  <si>
    <t>необходимые 
складские площади</t>
  </si>
  <si>
    <t>издержки работы 
в д.е./год</t>
  </si>
  <si>
    <t>управление поставками без ограничений</t>
  </si>
  <si>
    <t>управление поставками
с ограничениями
на складские площади</t>
  </si>
  <si>
    <t xml:space="preserve">F </t>
  </si>
  <si>
    <t xml:space="preserve">L = 110*3200/68.51 + 150*68.51/2 + 150*2100/49.22 + 260*49.22/2 + 120*5400/73.48 + 240*73.48/2 + 130*7900/101.34 + 200*101.34/2 + 100*2420/45.87 + 230*45.87/2 </t>
  </si>
  <si>
    <t xml:space="preserve">&gt; </t>
  </si>
  <si>
    <t>F</t>
  </si>
  <si>
    <t>L = 110*3200/29.90 + 150*29.90/2  + 150*2100/35.53 + 260*35.53/2 + 120*5400/57.84 + 240*57.85/2 + 130*7900/73.21 + 200*73.21/2 + 100*2420/31.24 + 230*31.24/2</t>
  </si>
  <si>
    <t>x* = x2(7)</t>
  </si>
  <si>
    <t>f* = f(x2(7))</t>
  </si>
  <si>
    <t>f* = f(x8)</t>
  </si>
  <si>
    <t>Δ = [3.1111111, 4]</t>
  </si>
  <si>
    <t xml:space="preserve">Δ = [3.495688, 3.501553] </t>
  </si>
  <si>
    <t>Δ = [3.49226, 3.49845201]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</si>
</sst>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2" fontId="0" fillId="0" borderId="1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/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102"/>
  <sheetViews>
    <sheetView tabSelected="1" topLeftCell="C14" zoomScale="61" workbookViewId="0">
      <selection activeCell="W26" sqref="W26"/>
    </sheetView>
  </sheetViews>
  <sheetFormatPr defaultRowHeight="14.25" x14ac:dyDescent="0.45"/>
  <cols>
    <col min="2" max="2" width="17.796875" customWidth="1"/>
    <col min="4" max="4" width="11.33203125" customWidth="1"/>
    <col min="7" max="10" width="12.265625" customWidth="1"/>
    <col min="15" max="19" width="18.265625" customWidth="1"/>
  </cols>
  <sheetData>
    <row r="2" spans="2:19" ht="14.65" thickBot="1" x14ac:dyDescent="0.5"/>
    <row r="3" spans="2:19" x14ac:dyDescent="0.45">
      <c r="B3" s="1" t="s">
        <v>0</v>
      </c>
      <c r="C3" s="2">
        <v>1</v>
      </c>
      <c r="D3" s="2">
        <v>3</v>
      </c>
      <c r="E3" s="2">
        <v>5</v>
      </c>
      <c r="F3" s="2">
        <v>7</v>
      </c>
      <c r="G3" s="2">
        <v>9</v>
      </c>
      <c r="H3" s="2">
        <v>11</v>
      </c>
      <c r="I3" s="2">
        <v>13</v>
      </c>
      <c r="J3" s="3">
        <v>15</v>
      </c>
    </row>
    <row r="4" spans="2:19" x14ac:dyDescent="0.45">
      <c r="B4" s="4" t="s">
        <v>1</v>
      </c>
      <c r="C4" s="5">
        <f xml:space="preserve"> 8/9*1 - 0.05</f>
        <v>0.8388888888888888</v>
      </c>
      <c r="D4" s="5">
        <f xml:space="preserve"> 8/9*2 - 0.05</f>
        <v>1.7277777777777776</v>
      </c>
      <c r="E4" s="5">
        <f xml:space="preserve"> 8/9*3 - 0.05</f>
        <v>2.6166666666666667</v>
      </c>
      <c r="F4" s="5">
        <f xml:space="preserve"> 8/9*4 - 0.05</f>
        <v>3.5055555555555555</v>
      </c>
      <c r="G4" s="5">
        <f xml:space="preserve"> 8/9*5 - 0.05</f>
        <v>4.3944444444444448</v>
      </c>
      <c r="H4" s="5">
        <f xml:space="preserve"> 8/9*6 - 0.05</f>
        <v>5.2833333333333332</v>
      </c>
      <c r="I4" s="5">
        <f xml:space="preserve"> 8/9*7 - 0.05</f>
        <v>6.1722222222222216</v>
      </c>
      <c r="J4" s="6">
        <f xml:space="preserve"> 8/9*8 - 0.05</f>
        <v>7.0611111111111109</v>
      </c>
    </row>
    <row r="5" spans="2:19" ht="14.65" thickBot="1" x14ac:dyDescent="0.5">
      <c r="B5" s="7" t="s">
        <v>2</v>
      </c>
      <c r="C5" s="8">
        <f xml:space="preserve"> C4*C4 - 7*C4 + 1</f>
        <v>-4.1684876543209874</v>
      </c>
      <c r="D5" s="8">
        <f t="shared" ref="D5:J5" si="0" xml:space="preserve"> D4*D4 - 7*D4 + 1</f>
        <v>-8.1092283950617272</v>
      </c>
      <c r="E5" s="8">
        <f t="shared" si="0"/>
        <v>-10.469722222222222</v>
      </c>
      <c r="F5" s="8">
        <f t="shared" si="0"/>
        <v>-11.249969135802468</v>
      </c>
      <c r="G5" s="8">
        <f t="shared" si="0"/>
        <v>-10.449969135802469</v>
      </c>
      <c r="H5" s="8">
        <f t="shared" si="0"/>
        <v>-8.0697222222222251</v>
      </c>
      <c r="I5" s="8">
        <f t="shared" si="0"/>
        <v>-4.1092283950617272</v>
      </c>
      <c r="J5" s="9">
        <f t="shared" si="0"/>
        <v>1.4315123456790104</v>
      </c>
    </row>
    <row r="6" spans="2:19" ht="14.65" thickBot="1" x14ac:dyDescent="0.5"/>
    <row r="7" spans="2:19" x14ac:dyDescent="0.45">
      <c r="B7" s="1" t="s">
        <v>0</v>
      </c>
      <c r="C7" s="2">
        <v>2</v>
      </c>
      <c r="D7" s="2">
        <v>4</v>
      </c>
      <c r="E7" s="2">
        <v>6</v>
      </c>
      <c r="F7" s="2">
        <v>8</v>
      </c>
      <c r="G7" s="2">
        <v>10</v>
      </c>
      <c r="H7" s="2">
        <v>12</v>
      </c>
      <c r="I7" s="2">
        <v>14</v>
      </c>
      <c r="J7" s="3">
        <v>16</v>
      </c>
    </row>
    <row r="8" spans="2:19" x14ac:dyDescent="0.45">
      <c r="B8" s="4" t="s">
        <v>1</v>
      </c>
      <c r="C8" s="5">
        <f xml:space="preserve"> 8/9*1 + 0.05</f>
        <v>0.93888888888888888</v>
      </c>
      <c r="D8" s="5">
        <f xml:space="preserve"> 8/9*2 + 0.05</f>
        <v>1.8277777777777777</v>
      </c>
      <c r="E8" s="5">
        <f xml:space="preserve"> 8/9*3 + 0.05</f>
        <v>2.7166666666666663</v>
      </c>
      <c r="F8" s="5">
        <f xml:space="preserve"> 8/9*4 + 0.05</f>
        <v>3.6055555555555552</v>
      </c>
      <c r="G8" s="5">
        <f xml:space="preserve"> 8/9*5 + 0.05</f>
        <v>4.4944444444444445</v>
      </c>
      <c r="H8" s="5">
        <f xml:space="preserve"> 8/9*6 + 0.05</f>
        <v>5.3833333333333329</v>
      </c>
      <c r="I8" s="5">
        <f xml:space="preserve"> 8/9*7 + 0.05</f>
        <v>6.2722222222222213</v>
      </c>
      <c r="J8" s="6">
        <f xml:space="preserve"> 8/9*8 + 0.05</f>
        <v>7.1611111111111105</v>
      </c>
    </row>
    <row r="9" spans="2:19" ht="14.65" thickBot="1" x14ac:dyDescent="0.5">
      <c r="B9" s="7" t="s">
        <v>2</v>
      </c>
      <c r="C9" s="8">
        <f>C8*C8 - 7*C8 + 1</f>
        <v>-4.6907098765432096</v>
      </c>
      <c r="D9" s="8">
        <f t="shared" ref="D9:J9" si="1">D8*D8 - 7*D8 + 1</f>
        <v>-8.4536728395061722</v>
      </c>
      <c r="E9" s="8">
        <f t="shared" si="1"/>
        <v>-10.63638888888889</v>
      </c>
      <c r="F9" s="8">
        <f t="shared" si="1"/>
        <v>-11.238858024691359</v>
      </c>
      <c r="G9" s="8">
        <f t="shared" si="1"/>
        <v>-10.261080246913583</v>
      </c>
      <c r="H9" s="8">
        <f t="shared" si="1"/>
        <v>-7.703055555555558</v>
      </c>
      <c r="I9" s="8">
        <f t="shared" si="1"/>
        <v>-3.56478395061729</v>
      </c>
      <c r="J9" s="9">
        <f t="shared" si="1"/>
        <v>2.1537345679012319</v>
      </c>
    </row>
    <row r="11" spans="2:19" ht="14.65" thickBot="1" x14ac:dyDescent="0.5"/>
    <row r="12" spans="2:19" ht="14.65" thickBot="1" x14ac:dyDescent="0.5">
      <c r="B12" s="39" t="s">
        <v>8</v>
      </c>
      <c r="C12" s="40"/>
      <c r="D12" s="41"/>
    </row>
    <row r="13" spans="2:19" ht="14.65" thickBot="1" x14ac:dyDescent="0.5"/>
    <row r="14" spans="2:19" x14ac:dyDescent="0.45">
      <c r="B14" s="1" t="s">
        <v>0</v>
      </c>
      <c r="C14" s="2">
        <v>1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2">
        <v>16</v>
      </c>
      <c r="S14" s="3">
        <v>17</v>
      </c>
    </row>
    <row r="15" spans="2:19" x14ac:dyDescent="0.45">
      <c r="B15" s="4" t="s">
        <v>1</v>
      </c>
      <c r="C15" s="5">
        <f xml:space="preserve"> 8*C14/18</f>
        <v>0.44444444444444442</v>
      </c>
      <c r="D15" s="5">
        <f t="shared" ref="D15:S15" si="2" xml:space="preserve"> 8*D14/18</f>
        <v>0.88888888888888884</v>
      </c>
      <c r="E15" s="5">
        <f t="shared" si="2"/>
        <v>1.3333333333333333</v>
      </c>
      <c r="F15" s="5">
        <f t="shared" si="2"/>
        <v>1.7777777777777777</v>
      </c>
      <c r="G15" s="5">
        <f t="shared" si="2"/>
        <v>2.2222222222222223</v>
      </c>
      <c r="H15" s="5">
        <f t="shared" si="2"/>
        <v>2.6666666666666665</v>
      </c>
      <c r="I15" s="5">
        <f t="shared" si="2"/>
        <v>3.1111111111111112</v>
      </c>
      <c r="J15" s="5">
        <f t="shared" si="2"/>
        <v>3.5555555555555554</v>
      </c>
      <c r="K15" s="5">
        <f t="shared" si="2"/>
        <v>4</v>
      </c>
      <c r="L15" s="5">
        <f t="shared" si="2"/>
        <v>4.4444444444444446</v>
      </c>
      <c r="M15" s="5">
        <f t="shared" si="2"/>
        <v>4.8888888888888893</v>
      </c>
      <c r="N15" s="5">
        <f t="shared" si="2"/>
        <v>5.333333333333333</v>
      </c>
      <c r="O15" s="5">
        <f t="shared" si="2"/>
        <v>5.7777777777777777</v>
      </c>
      <c r="P15" s="5">
        <f t="shared" si="2"/>
        <v>6.2222222222222223</v>
      </c>
      <c r="Q15" s="5">
        <f t="shared" si="2"/>
        <v>6.666666666666667</v>
      </c>
      <c r="R15" s="5">
        <f t="shared" si="2"/>
        <v>7.1111111111111107</v>
      </c>
      <c r="S15" s="6">
        <f t="shared" si="2"/>
        <v>7.5555555555555554</v>
      </c>
    </row>
    <row r="16" spans="2:19" ht="14.65" thickBot="1" x14ac:dyDescent="0.5">
      <c r="B16" s="7" t="s">
        <v>2</v>
      </c>
      <c r="C16" s="8">
        <f>C15*C15 - 7*C15 + 1</f>
        <v>-1.9135802469135799</v>
      </c>
      <c r="D16" s="8">
        <f t="shared" ref="D16:N16" si="3">D15*D15 - 7*D15 + 1</f>
        <v>-4.432098765432098</v>
      </c>
      <c r="E16" s="8">
        <f t="shared" si="3"/>
        <v>-6.5555555555555545</v>
      </c>
      <c r="F16" s="8">
        <f t="shared" si="3"/>
        <v>-8.2839506172839492</v>
      </c>
      <c r="G16" s="8">
        <f t="shared" si="3"/>
        <v>-9.6172839506172849</v>
      </c>
      <c r="H16" s="8">
        <f t="shared" si="3"/>
        <v>-10.555555555555554</v>
      </c>
      <c r="I16" s="8">
        <f t="shared" si="3"/>
        <v>-11.098765432098766</v>
      </c>
      <c r="J16" s="8">
        <f t="shared" si="3"/>
        <v>-11.246913580246911</v>
      </c>
      <c r="K16" s="8">
        <f t="shared" si="3"/>
        <v>-11</v>
      </c>
      <c r="L16" s="8">
        <f t="shared" si="3"/>
        <v>-10.358024691358025</v>
      </c>
      <c r="M16" s="8">
        <f t="shared" si="3"/>
        <v>-9.3209876543209909</v>
      </c>
      <c r="N16" s="8">
        <f t="shared" si="3"/>
        <v>-7.8888888888888857</v>
      </c>
      <c r="O16" s="8">
        <f>O15*O15 - 7*O15 + 1</f>
        <v>-6.0617283950617278</v>
      </c>
      <c r="P16" s="8">
        <f t="shared" ref="P16:S16" si="4">P15*P15 - 7*P15 + 1</f>
        <v>-3.8395061728395063</v>
      </c>
      <c r="Q16" s="8">
        <f t="shared" si="4"/>
        <v>-1.2222222222222214</v>
      </c>
      <c r="R16" s="8">
        <f t="shared" si="4"/>
        <v>1.790123456790127</v>
      </c>
      <c r="S16" s="9">
        <f t="shared" si="4"/>
        <v>5.1975308641975317</v>
      </c>
    </row>
    <row r="17" spans="2:22" ht="14.65" thickBot="1" x14ac:dyDescent="0.5"/>
    <row r="18" spans="2:22" ht="14.65" thickBot="1" x14ac:dyDescent="0.5">
      <c r="B18" s="11" t="s">
        <v>4</v>
      </c>
      <c r="C18" s="12">
        <f xml:space="preserve"> MIN(C16:S16)</f>
        <v>-11.246913580246911</v>
      </c>
      <c r="D18" s="13" t="s">
        <v>5</v>
      </c>
    </row>
    <row r="19" spans="2:22" ht="14.65" thickBot="1" x14ac:dyDescent="0.5">
      <c r="B19" s="39" t="s">
        <v>7</v>
      </c>
      <c r="C19" s="40"/>
      <c r="D19" s="41"/>
    </row>
    <row r="20" spans="2:22" ht="14.65" thickBot="1" x14ac:dyDescent="0.5">
      <c r="B20" s="15" t="s">
        <v>3</v>
      </c>
      <c r="C20" s="39">
        <f>J15</f>
        <v>3.5555555555555554</v>
      </c>
      <c r="D20" s="41"/>
    </row>
    <row r="21" spans="2:22" ht="14.65" thickBot="1" x14ac:dyDescent="0.5">
      <c r="B21" s="14" t="s">
        <v>6</v>
      </c>
      <c r="C21" s="40">
        <f>J16</f>
        <v>-11.246913580246911</v>
      </c>
      <c r="D21" s="41"/>
    </row>
    <row r="22" spans="2:22" ht="14.65" thickBot="1" x14ac:dyDescent="0.5"/>
    <row r="23" spans="2:22" ht="14.65" thickBot="1" x14ac:dyDescent="0.5">
      <c r="O23" s="30" t="s">
        <v>3</v>
      </c>
      <c r="P23" s="31">
        <v>3.5555555555555554</v>
      </c>
      <c r="Q23" s="31" t="s">
        <v>69</v>
      </c>
      <c r="R23" s="31">
        <v>-11.246913580246911</v>
      </c>
      <c r="S23" s="63" t="s">
        <v>70</v>
      </c>
      <c r="T23" s="72"/>
    </row>
    <row r="24" spans="2:22" x14ac:dyDescent="0.45">
      <c r="B24" s="16" t="s">
        <v>20</v>
      </c>
      <c r="C24" s="3">
        <v>0</v>
      </c>
      <c r="O24" s="32" t="s">
        <v>3</v>
      </c>
      <c r="P24" s="33">
        <v>3.4945312499999996</v>
      </c>
      <c r="Q24" s="33" t="s">
        <v>68</v>
      </c>
      <c r="R24" s="33">
        <v>-11.249970092773436</v>
      </c>
      <c r="S24" s="65" t="s">
        <v>19</v>
      </c>
      <c r="T24" s="73"/>
    </row>
    <row r="25" spans="2:22" x14ac:dyDescent="0.45">
      <c r="B25" s="4" t="s">
        <v>21</v>
      </c>
      <c r="C25" s="6">
        <v>8</v>
      </c>
      <c r="O25" s="32" t="s">
        <v>3</v>
      </c>
      <c r="P25" s="33">
        <v>3.4953560371517027</v>
      </c>
      <c r="Q25" s="33" t="s">
        <v>40</v>
      </c>
      <c r="R25" s="33">
        <v>-11.249978433609066</v>
      </c>
      <c r="S25" s="76" t="s">
        <v>72</v>
      </c>
      <c r="T25" s="77"/>
      <c r="U25" s="71"/>
      <c r="V25" s="71"/>
    </row>
    <row r="26" spans="2:22" ht="14.65" thickBot="1" x14ac:dyDescent="0.5">
      <c r="B26" s="4" t="s">
        <v>22</v>
      </c>
      <c r="C26" s="6">
        <v>16</v>
      </c>
      <c r="O26" s="7" t="s">
        <v>3</v>
      </c>
      <c r="P26" s="8">
        <v>3.4979279791772924</v>
      </c>
      <c r="Q26" s="8" t="s">
        <v>45</v>
      </c>
      <c r="R26" s="8">
        <v>-11.249995706729711</v>
      </c>
      <c r="S26" s="74" t="s">
        <v>71</v>
      </c>
      <c r="T26" s="75"/>
      <c r="U26" s="71"/>
      <c r="V26" s="71"/>
    </row>
    <row r="27" spans="2:22" ht="14.65" thickBot="1" x14ac:dyDescent="0.5">
      <c r="B27" s="7" t="s">
        <v>23</v>
      </c>
      <c r="C27" s="9">
        <v>0.1</v>
      </c>
    </row>
    <row r="28" spans="2:22" ht="14.65" thickBot="1" x14ac:dyDescent="0.5"/>
    <row r="29" spans="2:22" x14ac:dyDescent="0.45">
      <c r="B29" s="16" t="s">
        <v>9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14</v>
      </c>
      <c r="H29" s="2" t="s">
        <v>15</v>
      </c>
      <c r="I29" s="3" t="s">
        <v>16</v>
      </c>
    </row>
    <row r="30" spans="2:22" x14ac:dyDescent="0.45">
      <c r="B30" s="4">
        <v>0</v>
      </c>
      <c r="C30" s="5"/>
      <c r="D30" s="5"/>
      <c r="E30" s="5"/>
      <c r="F30" s="5"/>
      <c r="G30" s="5"/>
      <c r="H30" s="5">
        <v>0</v>
      </c>
      <c r="I30" s="6">
        <v>8</v>
      </c>
    </row>
    <row r="31" spans="2:22" x14ac:dyDescent="0.45">
      <c r="B31" s="4">
        <v>1</v>
      </c>
      <c r="C31" s="5">
        <v>3.95</v>
      </c>
      <c r="D31" s="5">
        <v>4.05</v>
      </c>
      <c r="E31" s="5">
        <v>-11.047500000000001</v>
      </c>
      <c r="F31" s="5" t="s">
        <v>17</v>
      </c>
      <c r="G31" s="5">
        <v>-10.947499999999998</v>
      </c>
      <c r="H31" s="5">
        <v>0</v>
      </c>
      <c r="I31" s="6">
        <v>4.05</v>
      </c>
    </row>
    <row r="32" spans="2:22" x14ac:dyDescent="0.45">
      <c r="B32" s="4">
        <v>2</v>
      </c>
      <c r="C32" s="5">
        <v>1.9749999999999999</v>
      </c>
      <c r="D32" s="5">
        <v>2.0749999999999997</v>
      </c>
      <c r="E32" s="5">
        <v>-8.9243749999999995</v>
      </c>
      <c r="F32" s="5" t="s">
        <v>18</v>
      </c>
      <c r="G32" s="5">
        <v>-9.2193749999999994</v>
      </c>
      <c r="H32" s="5">
        <v>1.9749999999999999</v>
      </c>
      <c r="I32" s="6">
        <v>4.05</v>
      </c>
    </row>
    <row r="33" spans="2:9" x14ac:dyDescent="0.45">
      <c r="B33" s="4">
        <v>3</v>
      </c>
      <c r="C33" s="5">
        <v>2.9624999999999999</v>
      </c>
      <c r="D33" s="5">
        <v>3.0624999999999996</v>
      </c>
      <c r="E33" s="5">
        <v>-10.961093750000002</v>
      </c>
      <c r="F33" s="5" t="s">
        <v>18</v>
      </c>
      <c r="G33" s="5">
        <v>-11.05859375</v>
      </c>
      <c r="H33" s="5">
        <v>2.9624999999999999</v>
      </c>
      <c r="I33" s="6">
        <v>4.05</v>
      </c>
    </row>
    <row r="34" spans="2:9" x14ac:dyDescent="0.45">
      <c r="B34" s="4">
        <v>4</v>
      </c>
      <c r="C34" s="5">
        <v>3.4562499999999998</v>
      </c>
      <c r="D34" s="5">
        <v>3.5562499999999995</v>
      </c>
      <c r="E34" s="5">
        <v>-11.248085937499999</v>
      </c>
      <c r="F34" s="5" t="s">
        <v>17</v>
      </c>
      <c r="G34" s="5">
        <v>-11.2468359375</v>
      </c>
      <c r="H34" s="5">
        <v>2.9624999999999999</v>
      </c>
      <c r="I34" s="6">
        <v>3.5562499999999995</v>
      </c>
    </row>
    <row r="35" spans="2:9" x14ac:dyDescent="0.45">
      <c r="B35" s="4">
        <v>5</v>
      </c>
      <c r="C35" s="5">
        <v>3.2093749999999996</v>
      </c>
      <c r="D35" s="5">
        <v>3.3093749999999993</v>
      </c>
      <c r="E35" s="5">
        <v>-11.165537109374998</v>
      </c>
      <c r="F35" s="5" t="s">
        <v>18</v>
      </c>
      <c r="G35" s="5">
        <v>-11.213662109374999</v>
      </c>
      <c r="H35" s="5">
        <v>3.2093749999999996</v>
      </c>
      <c r="I35" s="6">
        <v>3.5562499999999995</v>
      </c>
    </row>
    <row r="36" spans="2:9" x14ac:dyDescent="0.45">
      <c r="B36" s="4">
        <v>6</v>
      </c>
      <c r="C36" s="5">
        <v>3.3328124999999997</v>
      </c>
      <c r="D36" s="5">
        <v>3.4328124999999994</v>
      </c>
      <c r="E36" s="5">
        <v>-11.22204833984375</v>
      </c>
      <c r="F36" s="5" t="s">
        <v>18</v>
      </c>
      <c r="G36" s="5">
        <v>-11.245485839843749</v>
      </c>
      <c r="H36" s="5">
        <v>3.3328124999999997</v>
      </c>
      <c r="I36" s="6">
        <v>3.5562499999999995</v>
      </c>
    </row>
    <row r="37" spans="2:9" x14ac:dyDescent="0.45">
      <c r="B37" s="4">
        <v>7</v>
      </c>
      <c r="C37" s="5">
        <v>3.39453125</v>
      </c>
      <c r="D37" s="5">
        <v>3.4945312499999996</v>
      </c>
      <c r="E37" s="5">
        <v>-11.238876342773438</v>
      </c>
      <c r="F37" s="5" t="s">
        <v>18</v>
      </c>
      <c r="G37" s="5">
        <v>-11.249970092773436</v>
      </c>
      <c r="H37" s="5">
        <v>3.39453125</v>
      </c>
      <c r="I37" s="6">
        <v>3.5562499999999995</v>
      </c>
    </row>
    <row r="38" spans="2:9" ht="14.65" thickBot="1" x14ac:dyDescent="0.5">
      <c r="B38" s="7">
        <v>8</v>
      </c>
      <c r="C38" s="8">
        <v>3.4253906249999999</v>
      </c>
      <c r="D38" s="8">
        <v>3.5253906249999996</v>
      </c>
      <c r="E38" s="8">
        <v>-11.24443344116211</v>
      </c>
      <c r="F38" s="8" t="s">
        <v>18</v>
      </c>
      <c r="G38" s="8">
        <v>-11.249355316162109</v>
      </c>
      <c r="H38" s="8">
        <v>3.4253906249999999</v>
      </c>
      <c r="I38" s="9">
        <v>3.5562499999999995</v>
      </c>
    </row>
    <row r="39" spans="2:9" ht="14.65" thickBot="1" x14ac:dyDescent="0.5"/>
    <row r="40" spans="2:9" ht="14.65" thickBot="1" x14ac:dyDescent="0.5">
      <c r="B40" s="34" t="s">
        <v>19</v>
      </c>
      <c r="C40" s="36"/>
    </row>
    <row r="41" spans="2:9" x14ac:dyDescent="0.45">
      <c r="B41" s="16" t="s">
        <v>24</v>
      </c>
      <c r="C41" s="2">
        <v>3.4253906249999999</v>
      </c>
      <c r="D41" s="2" t="s">
        <v>30</v>
      </c>
      <c r="E41" s="3">
        <v>-11.24443344116211</v>
      </c>
    </row>
    <row r="42" spans="2:9" x14ac:dyDescent="0.45">
      <c r="B42" s="4" t="s">
        <v>25</v>
      </c>
      <c r="C42" s="5">
        <v>3.5562499999999995</v>
      </c>
      <c r="D42" s="5" t="s">
        <v>31</v>
      </c>
      <c r="E42" s="6">
        <v>-11.2468359375</v>
      </c>
    </row>
    <row r="43" spans="2:9" x14ac:dyDescent="0.45">
      <c r="B43" s="4" t="s">
        <v>26</v>
      </c>
      <c r="C43" s="5">
        <v>3.5253906249999996</v>
      </c>
      <c r="D43" s="5" t="s">
        <v>32</v>
      </c>
      <c r="E43" s="6">
        <v>-11.249355316162109</v>
      </c>
    </row>
    <row r="44" spans="2:9" x14ac:dyDescent="0.45">
      <c r="B44" s="4" t="s">
        <v>27</v>
      </c>
      <c r="C44" s="5">
        <v>3.4945312499999996</v>
      </c>
      <c r="D44" s="5" t="s">
        <v>33</v>
      </c>
      <c r="E44" s="6">
        <v>-11.249970092773436</v>
      </c>
    </row>
    <row r="45" spans="2:9" x14ac:dyDescent="0.45">
      <c r="B45" s="4" t="s">
        <v>28</v>
      </c>
      <c r="C45" s="5">
        <v>3.4328124999999994</v>
      </c>
      <c r="D45" s="5" t="s">
        <v>34</v>
      </c>
      <c r="E45" s="6">
        <v>-11.245485839843749</v>
      </c>
    </row>
    <row r="46" spans="2:9" ht="14.65" thickBot="1" x14ac:dyDescent="0.5">
      <c r="B46" s="7" t="s">
        <v>29</v>
      </c>
      <c r="C46" s="8">
        <v>3.4562499999999998</v>
      </c>
      <c r="D46" s="8" t="s">
        <v>35</v>
      </c>
      <c r="E46" s="9">
        <v>-11.248085937499999</v>
      </c>
    </row>
    <row r="47" spans="2:9" ht="14.65" thickBot="1" x14ac:dyDescent="0.5"/>
    <row r="48" spans="2:9" ht="14.65" thickBot="1" x14ac:dyDescent="0.5">
      <c r="B48" s="11" t="s">
        <v>67</v>
      </c>
      <c r="C48" s="12">
        <v>3.4945312499999996</v>
      </c>
      <c r="D48" s="12" t="s">
        <v>68</v>
      </c>
      <c r="E48" s="17">
        <v>-11.249970092773436</v>
      </c>
    </row>
    <row r="50" spans="2:11" ht="14.65" thickBot="1" x14ac:dyDescent="0.5"/>
    <row r="51" spans="2:11" x14ac:dyDescent="0.45">
      <c r="B51" s="16" t="s">
        <v>20</v>
      </c>
      <c r="C51" s="3">
        <v>0</v>
      </c>
    </row>
    <row r="52" spans="2:11" x14ac:dyDescent="0.45">
      <c r="B52" s="4" t="s">
        <v>21</v>
      </c>
      <c r="C52" s="6">
        <v>8</v>
      </c>
    </row>
    <row r="53" spans="2:11" x14ac:dyDescent="0.45">
      <c r="B53" s="4" t="s">
        <v>22</v>
      </c>
      <c r="C53" s="6">
        <v>16</v>
      </c>
    </row>
    <row r="54" spans="2:11" ht="14.65" thickBot="1" x14ac:dyDescent="0.5">
      <c r="B54" s="7" t="s">
        <v>38</v>
      </c>
      <c r="C54" s="9">
        <v>3.0959752321981426E-3</v>
      </c>
    </row>
    <row r="55" spans="2:11" ht="14.65" thickBot="1" x14ac:dyDescent="0.5"/>
    <row r="56" spans="2:11" x14ac:dyDescent="0.45">
      <c r="B56" s="16" t="s">
        <v>9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14</v>
      </c>
      <c r="H56" s="2" t="s">
        <v>15</v>
      </c>
      <c r="I56" s="2" t="s">
        <v>16</v>
      </c>
      <c r="J56" s="2"/>
      <c r="K56" s="3"/>
    </row>
    <row r="57" spans="2:11" x14ac:dyDescent="0.45">
      <c r="B57" s="4">
        <v>0</v>
      </c>
      <c r="C57" s="5"/>
      <c r="D57" s="5"/>
      <c r="E57" s="5"/>
      <c r="F57" s="5"/>
      <c r="G57" s="5"/>
      <c r="H57" s="5">
        <v>0</v>
      </c>
      <c r="I57" s="5">
        <v>8</v>
      </c>
      <c r="J57" s="5">
        <v>17</v>
      </c>
      <c r="K57" s="6">
        <v>2584</v>
      </c>
    </row>
    <row r="58" spans="2:11" x14ac:dyDescent="0.45">
      <c r="B58" s="4">
        <v>1</v>
      </c>
      <c r="C58" s="5">
        <v>3.0557275541795663</v>
      </c>
      <c r="D58" s="5">
        <v>4.9442724458204328</v>
      </c>
      <c r="E58" s="5">
        <v>-11.052621993884731</v>
      </c>
      <c r="F58" s="5" t="s">
        <v>17</v>
      </c>
      <c r="G58" s="5">
        <v>-9.1640771022438656</v>
      </c>
      <c r="H58" s="5">
        <v>0</v>
      </c>
      <c r="I58" s="5">
        <v>4.9442724458204328</v>
      </c>
      <c r="J58" s="5">
        <v>16</v>
      </c>
      <c r="K58" s="6">
        <v>1597</v>
      </c>
    </row>
    <row r="59" spans="2:11" x14ac:dyDescent="0.45">
      <c r="B59" s="4">
        <v>2</v>
      </c>
      <c r="C59" s="5">
        <v>1.8885448916408667</v>
      </c>
      <c r="D59" s="5">
        <v>3.0557275541795663</v>
      </c>
      <c r="E59" s="5">
        <v>-8.6532124337432528</v>
      </c>
      <c r="F59" s="5" t="s">
        <v>18</v>
      </c>
      <c r="G59" s="5">
        <v>-11.052621993884731</v>
      </c>
      <c r="H59" s="5">
        <v>1.8885448916408667</v>
      </c>
      <c r="I59" s="5">
        <v>4.9442724458204328</v>
      </c>
      <c r="J59" s="5">
        <v>15</v>
      </c>
      <c r="K59" s="6">
        <v>987</v>
      </c>
    </row>
    <row r="60" spans="2:11" x14ac:dyDescent="0.45">
      <c r="B60" s="4">
        <v>3</v>
      </c>
      <c r="C60" s="5">
        <v>3.0557275541795663</v>
      </c>
      <c r="D60" s="5">
        <v>3.7770897832817338</v>
      </c>
      <c r="E60" s="5">
        <v>-11.052621993884731</v>
      </c>
      <c r="F60" s="5" t="s">
        <v>18</v>
      </c>
      <c r="G60" s="5">
        <v>-11.17322125200088</v>
      </c>
      <c r="H60" s="5">
        <v>3.0557275541795663</v>
      </c>
      <c r="I60" s="5">
        <v>4.9442724458204328</v>
      </c>
      <c r="J60" s="5">
        <v>14</v>
      </c>
      <c r="K60" s="6">
        <v>610</v>
      </c>
    </row>
    <row r="61" spans="2:11" x14ac:dyDescent="0.45">
      <c r="B61" s="4">
        <v>4</v>
      </c>
      <c r="C61" s="5">
        <v>3.7770897832817338</v>
      </c>
      <c r="D61" s="5">
        <v>4.2229102167182653</v>
      </c>
      <c r="E61" s="5">
        <v>-11.17322125200088</v>
      </c>
      <c r="F61" s="5" t="s">
        <v>17</v>
      </c>
      <c r="G61" s="5">
        <v>-10.727400818564352</v>
      </c>
      <c r="H61" s="5">
        <v>3.0557275541795663</v>
      </c>
      <c r="I61" s="5">
        <v>4.2229102167182653</v>
      </c>
      <c r="J61" s="5">
        <v>13</v>
      </c>
      <c r="K61" s="6">
        <v>377</v>
      </c>
    </row>
    <row r="62" spans="2:11" x14ac:dyDescent="0.45">
      <c r="B62" s="4">
        <v>5</v>
      </c>
      <c r="C62" s="5">
        <v>3.5015479876160986</v>
      </c>
      <c r="D62" s="5">
        <v>3.7770897832817338</v>
      </c>
      <c r="E62" s="5">
        <v>-11.249997603734339</v>
      </c>
      <c r="F62" s="5" t="s">
        <v>17</v>
      </c>
      <c r="G62" s="5">
        <v>-11.17322125200088</v>
      </c>
      <c r="H62" s="5">
        <v>3.0557275541795663</v>
      </c>
      <c r="I62" s="5">
        <v>3.7770897832817338</v>
      </c>
      <c r="J62" s="5">
        <v>12</v>
      </c>
      <c r="K62" s="6">
        <v>233</v>
      </c>
    </row>
    <row r="63" spans="2:11" x14ac:dyDescent="0.45">
      <c r="B63" s="4">
        <v>6</v>
      </c>
      <c r="C63" s="5">
        <v>3.3312693498452011</v>
      </c>
      <c r="D63" s="5">
        <v>3.5015479876160986</v>
      </c>
      <c r="E63" s="5">
        <v>-11.22152996769834</v>
      </c>
      <c r="F63" s="5" t="s">
        <v>18</v>
      </c>
      <c r="G63" s="5">
        <v>-11.249997603734339</v>
      </c>
      <c r="H63" s="5">
        <v>3.3312693498452011</v>
      </c>
      <c r="I63" s="5">
        <v>3.7770897832817338</v>
      </c>
      <c r="J63" s="5">
        <v>11</v>
      </c>
      <c r="K63" s="6">
        <v>144</v>
      </c>
    </row>
    <row r="64" spans="2:11" x14ac:dyDescent="0.45">
      <c r="B64" s="4">
        <v>7</v>
      </c>
      <c r="C64" s="5">
        <v>3.5015479876160986</v>
      </c>
      <c r="D64" s="5">
        <v>3.6068111455108358</v>
      </c>
      <c r="E64" s="5">
        <v>-11.249997603734339</v>
      </c>
      <c r="F64" s="5" t="s">
        <v>17</v>
      </c>
      <c r="G64" s="5">
        <v>-11.238591379194663</v>
      </c>
      <c r="H64" s="5">
        <v>3.3312693498452011</v>
      </c>
      <c r="I64" s="5">
        <v>3.6068111455108358</v>
      </c>
      <c r="J64" s="5">
        <v>10</v>
      </c>
      <c r="K64" s="6">
        <v>89</v>
      </c>
    </row>
    <row r="65" spans="2:11" x14ac:dyDescent="0.45">
      <c r="B65" s="4">
        <v>8</v>
      </c>
      <c r="C65" s="5">
        <v>3.4365325077399378</v>
      </c>
      <c r="D65" s="5">
        <v>3.5015479876160986</v>
      </c>
      <c r="E65" s="5">
        <v>-11.24597187742622</v>
      </c>
      <c r="F65" s="5" t="s">
        <v>18</v>
      </c>
      <c r="G65" s="5">
        <v>-11.249997603734339</v>
      </c>
      <c r="H65" s="5">
        <v>3.4365325077399378</v>
      </c>
      <c r="I65" s="5">
        <v>3.6068111455108358</v>
      </c>
      <c r="J65" s="5">
        <v>9</v>
      </c>
      <c r="K65" s="6">
        <v>55</v>
      </c>
    </row>
    <row r="66" spans="2:11" x14ac:dyDescent="0.45">
      <c r="B66" s="4">
        <v>9</v>
      </c>
      <c r="C66" s="5">
        <v>3.5015479876160986</v>
      </c>
      <c r="D66" s="5">
        <v>3.5417956656346745</v>
      </c>
      <c r="E66" s="5">
        <v>-11.249997603734339</v>
      </c>
      <c r="F66" s="5" t="s">
        <v>17</v>
      </c>
      <c r="G66" s="5">
        <v>-11.248253122334155</v>
      </c>
      <c r="H66" s="5">
        <v>3.4365325077399378</v>
      </c>
      <c r="I66" s="5">
        <v>3.5417956656346745</v>
      </c>
      <c r="J66" s="5">
        <v>8</v>
      </c>
      <c r="K66" s="6">
        <v>34</v>
      </c>
    </row>
    <row r="67" spans="2:11" x14ac:dyDescent="0.45">
      <c r="B67" s="4">
        <v>10</v>
      </c>
      <c r="C67" s="5">
        <v>3.4767801857585137</v>
      </c>
      <c r="D67" s="5">
        <v>3.5015479876160986</v>
      </c>
      <c r="E67" s="5">
        <v>-11.24946084022659</v>
      </c>
      <c r="F67" s="5" t="s">
        <v>18</v>
      </c>
      <c r="G67" s="5">
        <v>-11.249997603734339</v>
      </c>
      <c r="H67" s="5">
        <v>3.4767801857585137</v>
      </c>
      <c r="I67" s="5">
        <v>3.5417956656346745</v>
      </c>
      <c r="J67" s="5">
        <v>7</v>
      </c>
      <c r="K67" s="6">
        <v>21</v>
      </c>
    </row>
    <row r="68" spans="2:11" x14ac:dyDescent="0.45">
      <c r="B68" s="4">
        <v>11</v>
      </c>
      <c r="C68" s="5">
        <v>3.5015479876160986</v>
      </c>
      <c r="D68" s="5">
        <v>3.5170278637770895</v>
      </c>
      <c r="E68" s="5">
        <v>-11.249997603734339</v>
      </c>
      <c r="F68" s="5" t="s">
        <v>17</v>
      </c>
      <c r="G68" s="5">
        <v>-11.249710051855191</v>
      </c>
      <c r="H68" s="5">
        <v>3.4767801857585137</v>
      </c>
      <c r="I68" s="5">
        <v>3.5170278637770895</v>
      </c>
      <c r="J68" s="5">
        <v>6</v>
      </c>
      <c r="K68" s="6">
        <v>13</v>
      </c>
    </row>
    <row r="69" spans="2:11" x14ac:dyDescent="0.45">
      <c r="B69" s="4">
        <v>12</v>
      </c>
      <c r="C69" s="5">
        <v>3.4922600619195046</v>
      </c>
      <c r="D69" s="5">
        <v>3.5015479876160986</v>
      </c>
      <c r="E69" s="5">
        <v>-11.249940093358509</v>
      </c>
      <c r="F69" s="5" t="s">
        <v>18</v>
      </c>
      <c r="G69" s="5">
        <v>-11.249997603734339</v>
      </c>
      <c r="H69" s="5">
        <v>3.4922600619195046</v>
      </c>
      <c r="I69" s="5">
        <v>3.5170278637770895</v>
      </c>
      <c r="J69" s="5">
        <v>5</v>
      </c>
      <c r="K69" s="6">
        <v>8</v>
      </c>
    </row>
    <row r="70" spans="2:11" x14ac:dyDescent="0.45">
      <c r="B70" s="4">
        <v>13</v>
      </c>
      <c r="C70" s="5">
        <v>3.5015479876160986</v>
      </c>
      <c r="D70" s="5">
        <v>3.5077399380804954</v>
      </c>
      <c r="E70" s="5">
        <v>-11.249997603734339</v>
      </c>
      <c r="F70" s="5" t="s">
        <v>17</v>
      </c>
      <c r="G70" s="5">
        <v>-11.249940093358511</v>
      </c>
      <c r="H70" s="5">
        <v>3.4922600619195046</v>
      </c>
      <c r="I70" s="5">
        <v>3.5077399380804954</v>
      </c>
      <c r="J70" s="5">
        <v>4</v>
      </c>
      <c r="K70" s="6">
        <v>5</v>
      </c>
    </row>
    <row r="71" spans="2:11" x14ac:dyDescent="0.45">
      <c r="B71" s="4">
        <v>14</v>
      </c>
      <c r="C71" s="5">
        <v>3.4984520123839009</v>
      </c>
      <c r="D71" s="5">
        <v>3.5015479876160986</v>
      </c>
      <c r="E71" s="5">
        <v>-11.249997603734341</v>
      </c>
      <c r="F71" s="5" t="s">
        <v>36</v>
      </c>
      <c r="G71" s="5">
        <v>-11.249997603734339</v>
      </c>
      <c r="H71" s="5">
        <v>3.4922600619195046</v>
      </c>
      <c r="I71" s="5">
        <v>3.5015479876160986</v>
      </c>
      <c r="J71" s="5">
        <v>3</v>
      </c>
      <c r="K71" s="6">
        <v>3</v>
      </c>
    </row>
    <row r="72" spans="2:11" x14ac:dyDescent="0.45">
      <c r="B72" s="4">
        <v>15</v>
      </c>
      <c r="C72" s="5">
        <v>3.4953560371517027</v>
      </c>
      <c r="D72" s="5">
        <v>3.4984520123839009</v>
      </c>
      <c r="E72" s="5">
        <v>-11.249978433609066</v>
      </c>
      <c r="F72" s="5" t="s">
        <v>36</v>
      </c>
      <c r="G72" s="5">
        <v>-11.249997603734341</v>
      </c>
      <c r="H72" s="5">
        <v>3.4922600619195046</v>
      </c>
      <c r="I72" s="5">
        <v>3.4984520123839009</v>
      </c>
      <c r="J72" s="5">
        <v>2</v>
      </c>
      <c r="K72" s="6">
        <v>2</v>
      </c>
    </row>
    <row r="73" spans="2:11" x14ac:dyDescent="0.45">
      <c r="B73" s="42"/>
      <c r="C73" s="43"/>
      <c r="D73" s="43"/>
      <c r="E73" s="43"/>
      <c r="F73" s="43"/>
      <c r="G73" s="43"/>
      <c r="H73" s="43"/>
      <c r="I73" s="44"/>
      <c r="J73" s="5">
        <v>1</v>
      </c>
      <c r="K73" s="6">
        <v>1</v>
      </c>
    </row>
    <row r="74" spans="2:11" ht="14.65" thickBot="1" x14ac:dyDescent="0.5">
      <c r="B74" s="45"/>
      <c r="C74" s="46"/>
      <c r="D74" s="46"/>
      <c r="E74" s="46"/>
      <c r="F74" s="46"/>
      <c r="G74" s="46"/>
      <c r="H74" s="46"/>
      <c r="I74" s="47"/>
      <c r="J74" s="8">
        <v>0</v>
      </c>
      <c r="K74" s="9">
        <v>1</v>
      </c>
    </row>
    <row r="75" spans="2:11" ht="14.65" thickBot="1" x14ac:dyDescent="0.5"/>
    <row r="76" spans="2:11" ht="14.65" thickBot="1" x14ac:dyDescent="0.5">
      <c r="B76" s="34" t="s">
        <v>37</v>
      </c>
      <c r="C76" s="35"/>
      <c r="D76" s="35"/>
      <c r="E76" s="36"/>
    </row>
    <row r="77" spans="2:11" ht="14.65" thickBot="1" x14ac:dyDescent="0.5">
      <c r="B77" s="11" t="s">
        <v>39</v>
      </c>
      <c r="C77" s="12">
        <v>3.4953560371517027</v>
      </c>
      <c r="D77" s="12" t="s">
        <v>40</v>
      </c>
      <c r="E77" s="17">
        <v>-11.249978433609066</v>
      </c>
    </row>
    <row r="79" spans="2:11" ht="14.65" thickBot="1" x14ac:dyDescent="0.5"/>
    <row r="80" spans="2:11" x14ac:dyDescent="0.45">
      <c r="B80" s="16" t="s">
        <v>42</v>
      </c>
      <c r="C80" s="2">
        <v>0.3819660112501051</v>
      </c>
      <c r="D80" s="37"/>
      <c r="E80" s="2" t="s">
        <v>20</v>
      </c>
      <c r="F80" s="2">
        <v>0</v>
      </c>
      <c r="G80" s="37"/>
      <c r="H80" s="2" t="s">
        <v>22</v>
      </c>
      <c r="I80" s="3">
        <v>16</v>
      </c>
    </row>
    <row r="81" spans="2:9" ht="14.65" thickBot="1" x14ac:dyDescent="0.5">
      <c r="B81" s="7" t="s">
        <v>43</v>
      </c>
      <c r="C81" s="8">
        <v>0.6180339887498949</v>
      </c>
      <c r="D81" s="38"/>
      <c r="E81" s="8" t="s">
        <v>21</v>
      </c>
      <c r="F81" s="8">
        <v>8</v>
      </c>
      <c r="G81" s="38"/>
      <c r="H81" s="8"/>
      <c r="I81" s="9"/>
    </row>
    <row r="82" spans="2:9" ht="14.65" thickBot="1" x14ac:dyDescent="0.5"/>
    <row r="83" spans="2:9" x14ac:dyDescent="0.45">
      <c r="B83" s="16" t="s">
        <v>9</v>
      </c>
      <c r="C83" s="2" t="s">
        <v>10</v>
      </c>
      <c r="D83" s="2" t="s">
        <v>11</v>
      </c>
      <c r="E83" s="2" t="s">
        <v>12</v>
      </c>
      <c r="F83" s="2" t="s">
        <v>13</v>
      </c>
      <c r="G83" s="2" t="s">
        <v>14</v>
      </c>
      <c r="H83" s="2" t="s">
        <v>15</v>
      </c>
      <c r="I83" s="3" t="s">
        <v>16</v>
      </c>
    </row>
    <row r="84" spans="2:9" x14ac:dyDescent="0.45">
      <c r="B84" s="4">
        <v>0</v>
      </c>
      <c r="C84" s="5"/>
      <c r="D84" s="5"/>
      <c r="E84" s="5"/>
      <c r="F84" s="5"/>
      <c r="G84" s="5"/>
      <c r="H84" s="5">
        <v>0</v>
      </c>
      <c r="I84" s="6">
        <v>8</v>
      </c>
    </row>
    <row r="85" spans="2:9" x14ac:dyDescent="0.45">
      <c r="B85" s="4">
        <v>1</v>
      </c>
      <c r="C85" s="5">
        <v>3.0557280900008408</v>
      </c>
      <c r="D85" s="5">
        <v>4.9442719099991592</v>
      </c>
      <c r="E85" s="5">
        <v>-11.0526224699857</v>
      </c>
      <c r="F85" s="5" t="s">
        <v>17</v>
      </c>
      <c r="G85" s="5">
        <v>-9.1640786499873812</v>
      </c>
      <c r="H85" s="5">
        <v>0</v>
      </c>
      <c r="I85" s="6">
        <v>4.9442719099991592</v>
      </c>
    </row>
    <row r="86" spans="2:9" x14ac:dyDescent="0.45">
      <c r="B86" s="4">
        <v>2</v>
      </c>
      <c r="C86" s="5">
        <v>1.8885438199983176</v>
      </c>
      <c r="D86" s="5">
        <v>3.0557280900008408</v>
      </c>
      <c r="E86" s="5">
        <v>-8.6532089799343836</v>
      </c>
      <c r="F86" s="5" t="s">
        <v>18</v>
      </c>
      <c r="G86" s="5">
        <v>-11.0526224699857</v>
      </c>
      <c r="H86" s="5">
        <v>1.8885438199983176</v>
      </c>
      <c r="I86" s="6">
        <v>4.9442719099991592</v>
      </c>
    </row>
    <row r="87" spans="2:9" x14ac:dyDescent="0.45">
      <c r="B87" s="4">
        <v>3</v>
      </c>
      <c r="C87" s="5">
        <v>3.0557280900008408</v>
      </c>
      <c r="D87" s="5">
        <v>3.7770876399966355</v>
      </c>
      <c r="E87" s="5">
        <v>-11.0526224699857</v>
      </c>
      <c r="F87" s="5" t="s">
        <v>18</v>
      </c>
      <c r="G87" s="5">
        <v>-11.173222439761094</v>
      </c>
      <c r="H87" s="5">
        <v>3.0557280900008408</v>
      </c>
      <c r="I87" s="6">
        <v>4.9442719099991592</v>
      </c>
    </row>
    <row r="88" spans="2:9" x14ac:dyDescent="0.45">
      <c r="B88" s="4">
        <v>4</v>
      </c>
      <c r="C88" s="5">
        <v>3.7770876399966355</v>
      </c>
      <c r="D88" s="5">
        <v>4.2229123600033649</v>
      </c>
      <c r="E88" s="5">
        <v>-11.173222439761094</v>
      </c>
      <c r="F88" s="5" t="s">
        <v>17</v>
      </c>
      <c r="G88" s="5">
        <v>-10.727397719754368</v>
      </c>
      <c r="H88" s="5">
        <v>3.0557280900008408</v>
      </c>
      <c r="I88" s="6">
        <v>4.2229123600033649</v>
      </c>
    </row>
    <row r="89" spans="2:9" x14ac:dyDescent="0.45">
      <c r="B89" s="4">
        <v>5</v>
      </c>
      <c r="C89" s="5">
        <v>3.5015528100075706</v>
      </c>
      <c r="D89" s="5">
        <v>3.7770876399966355</v>
      </c>
      <c r="E89" s="5">
        <v>-11.249997588781081</v>
      </c>
      <c r="F89" s="5" t="s">
        <v>17</v>
      </c>
      <c r="G89" s="5">
        <v>-11.173222439761094</v>
      </c>
      <c r="H89" s="5">
        <v>3.0557280900008408</v>
      </c>
      <c r="I89" s="6">
        <v>3.7770876399966355</v>
      </c>
    </row>
    <row r="90" spans="2:9" x14ac:dyDescent="0.45">
      <c r="B90" s="4">
        <v>6</v>
      </c>
      <c r="C90" s="5">
        <v>3.3312629199899053</v>
      </c>
      <c r="D90" s="5">
        <v>3.5015528100075706</v>
      </c>
      <c r="E90" s="5">
        <v>-11.221527797829669</v>
      </c>
      <c r="F90" s="5" t="s">
        <v>18</v>
      </c>
      <c r="G90" s="5">
        <v>-11.249997588781081</v>
      </c>
      <c r="H90" s="5">
        <v>3.3312629199899053</v>
      </c>
      <c r="I90" s="6">
        <v>3.7770876399966355</v>
      </c>
    </row>
    <row r="91" spans="2:9" x14ac:dyDescent="0.45">
      <c r="B91" s="4">
        <v>7</v>
      </c>
      <c r="C91" s="5">
        <v>3.5015528100075706</v>
      </c>
      <c r="D91" s="5">
        <v>3.6067977499789698</v>
      </c>
      <c r="E91" s="5">
        <v>-11.249997588781081</v>
      </c>
      <c r="F91" s="5" t="s">
        <v>17</v>
      </c>
      <c r="G91" s="5">
        <v>-11.238594240599429</v>
      </c>
      <c r="H91" s="5">
        <v>3.3312629199899053</v>
      </c>
      <c r="I91" s="6">
        <v>3.6067977499789698</v>
      </c>
    </row>
    <row r="92" spans="2:9" x14ac:dyDescent="0.45">
      <c r="B92" s="4">
        <v>8</v>
      </c>
      <c r="C92" s="5">
        <v>3.4365078599613041</v>
      </c>
      <c r="D92" s="5">
        <v>3.5015528100075706</v>
      </c>
      <c r="E92" s="5">
        <v>-11.245968748153308</v>
      </c>
      <c r="F92" s="5" t="s">
        <v>18</v>
      </c>
      <c r="G92" s="5">
        <v>-11.249997588781081</v>
      </c>
      <c r="H92" s="5">
        <v>3.4365078599613041</v>
      </c>
      <c r="I92" s="6">
        <v>3.6067977499789698</v>
      </c>
    </row>
    <row r="93" spans="2:9" x14ac:dyDescent="0.45">
      <c r="B93" s="4">
        <v>9</v>
      </c>
      <c r="C93" s="5">
        <v>3.5015528100075706</v>
      </c>
      <c r="D93" s="5">
        <v>3.541752799932703</v>
      </c>
      <c r="E93" s="5">
        <v>-11.249997588781081</v>
      </c>
      <c r="F93" s="5" t="s">
        <v>17</v>
      </c>
      <c r="G93" s="5">
        <v>-11.248256703697781</v>
      </c>
      <c r="H93" s="5">
        <v>3.4365078599613041</v>
      </c>
      <c r="I93" s="6">
        <v>3.541752799932703</v>
      </c>
    </row>
    <row r="94" spans="2:9" x14ac:dyDescent="0.45">
      <c r="B94" s="4">
        <v>10</v>
      </c>
      <c r="C94" s="5">
        <v>3.4767078498864361</v>
      </c>
      <c r="D94" s="5">
        <v>3.5015528100075706</v>
      </c>
      <c r="E94" s="5">
        <v>-11.249457475743085</v>
      </c>
      <c r="F94" s="5" t="s">
        <v>18</v>
      </c>
      <c r="G94" s="5">
        <v>-11.249997588781081</v>
      </c>
      <c r="H94" s="5">
        <v>3.4767078498864361</v>
      </c>
      <c r="I94" s="6">
        <v>3.541752799932703</v>
      </c>
    </row>
    <row r="95" spans="2:9" x14ac:dyDescent="0.45">
      <c r="B95" s="4">
        <v>11</v>
      </c>
      <c r="C95" s="5">
        <v>3.5015528100075706</v>
      </c>
      <c r="D95" s="5">
        <v>3.5169078398115681</v>
      </c>
      <c r="E95" s="5">
        <v>-11.249997588781081</v>
      </c>
      <c r="F95" s="5" t="s">
        <v>17</v>
      </c>
      <c r="G95" s="5">
        <v>-11.249714124952906</v>
      </c>
      <c r="H95" s="5">
        <v>3.4767078498864361</v>
      </c>
      <c r="I95" s="6">
        <v>3.5169078398115681</v>
      </c>
    </row>
    <row r="96" spans="2:9" x14ac:dyDescent="0.45">
      <c r="B96" s="4">
        <v>12</v>
      </c>
      <c r="C96" s="5">
        <v>3.4920628796904332</v>
      </c>
      <c r="D96" s="5">
        <v>3.5015528100075706</v>
      </c>
      <c r="E96" s="5">
        <v>-11.249937002121191</v>
      </c>
      <c r="F96" s="5" t="s">
        <v>18</v>
      </c>
      <c r="G96" s="5">
        <v>-11.249997588781081</v>
      </c>
      <c r="H96" s="5">
        <v>3.4920628796904332</v>
      </c>
      <c r="I96" s="6">
        <v>3.5169078398115681</v>
      </c>
    </row>
    <row r="97" spans="2:9" x14ac:dyDescent="0.45">
      <c r="B97" s="4">
        <v>13</v>
      </c>
      <c r="C97" s="5">
        <v>3.5015528100075706</v>
      </c>
      <c r="D97" s="5">
        <v>3.5074179094944302</v>
      </c>
      <c r="E97" s="5">
        <v>-11.249997588781081</v>
      </c>
      <c r="F97" s="5" t="s">
        <v>17</v>
      </c>
      <c r="G97" s="5">
        <v>-11.249944974618733</v>
      </c>
      <c r="H97" s="5">
        <v>3.4920628796904332</v>
      </c>
      <c r="I97" s="6">
        <v>3.5074179094944302</v>
      </c>
    </row>
    <row r="98" spans="2:9" x14ac:dyDescent="0.45">
      <c r="B98" s="4">
        <v>14</v>
      </c>
      <c r="C98" s="5">
        <v>3.4979279791772924</v>
      </c>
      <c r="D98" s="5">
        <v>3.5015528100075706</v>
      </c>
      <c r="E98" s="5">
        <v>-11.249995706729711</v>
      </c>
      <c r="F98" s="5" t="s">
        <v>36</v>
      </c>
      <c r="G98" s="5">
        <v>-11.249997588781081</v>
      </c>
      <c r="H98" s="5">
        <v>3.4920628796904332</v>
      </c>
      <c r="I98" s="6">
        <v>3.5015528100075706</v>
      </c>
    </row>
    <row r="99" spans="2:9" ht="14.65" thickBot="1" x14ac:dyDescent="0.5">
      <c r="B99" s="7">
        <v>15</v>
      </c>
      <c r="C99" s="8">
        <v>3.4956877105207114</v>
      </c>
      <c r="D99" s="8">
        <v>3.4979279791772924</v>
      </c>
      <c r="E99" s="8">
        <v>-11.249981404159445</v>
      </c>
      <c r="F99" s="8" t="s">
        <v>18</v>
      </c>
      <c r="G99" s="8">
        <v>-11.249995706729711</v>
      </c>
      <c r="H99" s="8">
        <v>3.4956877105207114</v>
      </c>
      <c r="I99" s="9">
        <v>3.5015528100075706</v>
      </c>
    </row>
    <row r="100" spans="2:9" ht="14.65" thickBot="1" x14ac:dyDescent="0.5"/>
    <row r="101" spans="2:9" ht="14.65" thickBot="1" x14ac:dyDescent="0.5">
      <c r="B101" s="34" t="s">
        <v>41</v>
      </c>
      <c r="C101" s="35"/>
      <c r="D101" s="35"/>
      <c r="E101" s="36"/>
    </row>
    <row r="102" spans="2:9" ht="14.65" thickBot="1" x14ac:dyDescent="0.5">
      <c r="B102" s="11" t="s">
        <v>44</v>
      </c>
      <c r="C102" s="12">
        <v>3.4979279791772924</v>
      </c>
      <c r="D102" s="12" t="s">
        <v>45</v>
      </c>
      <c r="E102" s="17">
        <v>-11.249995706729711</v>
      </c>
    </row>
  </sheetData>
  <mergeCells count="14">
    <mergeCell ref="S26:T26"/>
    <mergeCell ref="S25:T25"/>
    <mergeCell ref="S23:T23"/>
    <mergeCell ref="S24:T24"/>
    <mergeCell ref="B76:E76"/>
    <mergeCell ref="D80:D81"/>
    <mergeCell ref="G80:G81"/>
    <mergeCell ref="B101:E101"/>
    <mergeCell ref="B12:D12"/>
    <mergeCell ref="B19:D19"/>
    <mergeCell ref="C20:D20"/>
    <mergeCell ref="C21:D21"/>
    <mergeCell ref="B40:C40"/>
    <mergeCell ref="B73:I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1CBB-342C-4424-9D28-3AE3C442AF86}">
  <dimension ref="B2:R44"/>
  <sheetViews>
    <sheetView zoomScale="57" workbookViewId="0">
      <selection activeCell="I34" sqref="I34"/>
    </sheetView>
  </sheetViews>
  <sheetFormatPr defaultRowHeight="14.25" x14ac:dyDescent="0.45"/>
  <sheetData>
    <row r="2" spans="2:18" ht="14.65" thickBot="1" x14ac:dyDescent="0.5"/>
    <row r="3" spans="2:18" x14ac:dyDescent="0.45">
      <c r="B3" s="16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3" t="s">
        <v>54</v>
      </c>
    </row>
    <row r="4" spans="2:18" x14ac:dyDescent="0.45">
      <c r="B4" s="4">
        <v>1</v>
      </c>
      <c r="C4" s="5">
        <v>3200</v>
      </c>
      <c r="D4" s="5">
        <v>110</v>
      </c>
      <c r="E4" s="5">
        <v>150</v>
      </c>
      <c r="F4" s="5">
        <v>14</v>
      </c>
      <c r="G4" s="25">
        <f xml:space="preserve"> SQRT(2*D4*C4/E4)</f>
        <v>68.507907086214018</v>
      </c>
      <c r="H4" s="25">
        <f xml:space="preserve"> D4*C4/G4</f>
        <v>5138.0930314660518</v>
      </c>
      <c r="I4" s="25">
        <f>E4*G4</f>
        <v>10276.186062932104</v>
      </c>
      <c r="J4" s="26">
        <f>F4*G4</f>
        <v>959.11069920699629</v>
      </c>
    </row>
    <row r="5" spans="2:18" x14ac:dyDescent="0.45">
      <c r="B5" s="4">
        <v>2</v>
      </c>
      <c r="C5" s="5">
        <v>2100</v>
      </c>
      <c r="D5" s="5">
        <v>150</v>
      </c>
      <c r="E5" s="5">
        <v>260</v>
      </c>
      <c r="F5" s="5">
        <v>5</v>
      </c>
      <c r="G5" s="25">
        <f t="shared" ref="G5:G8" si="0" xml:space="preserve"> SQRT(2*D5*C5/E5)</f>
        <v>49.224759248542014</v>
      </c>
      <c r="H5" s="25">
        <f xml:space="preserve"> D5*C5/G5</f>
        <v>6399.2187023104634</v>
      </c>
      <c r="I5" s="25">
        <f>E5*G5</f>
        <v>12798.437404620923</v>
      </c>
      <c r="J5" s="26">
        <f>F5*G5</f>
        <v>246.12379624271006</v>
      </c>
    </row>
    <row r="6" spans="2:18" x14ac:dyDescent="0.45">
      <c r="B6" s="4">
        <v>3</v>
      </c>
      <c r="C6" s="5">
        <v>5400</v>
      </c>
      <c r="D6" s="5">
        <v>120</v>
      </c>
      <c r="E6" s="5">
        <v>240</v>
      </c>
      <c r="F6" s="5">
        <v>3</v>
      </c>
      <c r="G6" s="25">
        <f t="shared" si="0"/>
        <v>73.484692283495349</v>
      </c>
      <c r="H6" s="25">
        <f xml:space="preserve"> D6*C6/G6</f>
        <v>8818.1630740194396</v>
      </c>
      <c r="I6" s="25">
        <f>E6*G6</f>
        <v>17636.326148038883</v>
      </c>
      <c r="J6" s="26">
        <f>F6*G6</f>
        <v>220.45407685048605</v>
      </c>
    </row>
    <row r="7" spans="2:18" x14ac:dyDescent="0.45">
      <c r="B7" s="4">
        <v>4</v>
      </c>
      <c r="C7" s="5">
        <v>7900</v>
      </c>
      <c r="D7" s="5">
        <v>130</v>
      </c>
      <c r="E7" s="5">
        <v>200</v>
      </c>
      <c r="F7" s="5">
        <v>4</v>
      </c>
      <c r="G7" s="25">
        <f t="shared" si="0"/>
        <v>101.34100848126586</v>
      </c>
      <c r="H7" s="25">
        <f xml:space="preserve"> D7*C7/G7</f>
        <v>10134.100848126587</v>
      </c>
      <c r="I7" s="25">
        <f>E7*G7</f>
        <v>20268.201696253171</v>
      </c>
      <c r="J7" s="26">
        <f>F7*G7</f>
        <v>405.36403392506344</v>
      </c>
    </row>
    <row r="8" spans="2:18" x14ac:dyDescent="0.45">
      <c r="B8" s="4">
        <v>5</v>
      </c>
      <c r="C8" s="5">
        <v>2420</v>
      </c>
      <c r="D8" s="5">
        <v>100</v>
      </c>
      <c r="E8" s="5">
        <v>230</v>
      </c>
      <c r="F8" s="5">
        <v>6</v>
      </c>
      <c r="G8" s="25">
        <f t="shared" si="0"/>
        <v>45.873171092556447</v>
      </c>
      <c r="H8" s="25">
        <f xml:space="preserve"> D8*C8/G8</f>
        <v>5275.4146756439914</v>
      </c>
      <c r="I8" s="25">
        <f>E8*G8</f>
        <v>10550.829351287983</v>
      </c>
      <c r="J8" s="26">
        <f>F8*G8</f>
        <v>275.23902655533868</v>
      </c>
    </row>
    <row r="9" spans="2:18" ht="14.65" thickBot="1" x14ac:dyDescent="0.5">
      <c r="B9" s="48"/>
      <c r="C9" s="49"/>
      <c r="D9" s="49"/>
      <c r="E9" s="49"/>
      <c r="F9" s="49"/>
      <c r="G9" s="50"/>
      <c r="H9" s="27">
        <f>SUM(H4:H8)</f>
        <v>35764.990331566529</v>
      </c>
      <c r="I9" s="27">
        <f>SUM(I4:I8)</f>
        <v>71529.980663133058</v>
      </c>
      <c r="J9" s="28">
        <f>SUM(J4:J8)</f>
        <v>2106.2916327805947</v>
      </c>
    </row>
    <row r="10" spans="2:18" ht="14.65" thickBot="1" x14ac:dyDescent="0.5"/>
    <row r="11" spans="2:18" ht="14.65" thickBot="1" x14ac:dyDescent="0.5">
      <c r="B11" s="51" t="s">
        <v>55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3"/>
    </row>
    <row r="12" spans="2:18" ht="14.65" thickBot="1" x14ac:dyDescent="0.5"/>
    <row r="13" spans="2:18" ht="14.65" thickBot="1" x14ac:dyDescent="0.5">
      <c r="B13" s="51" t="s">
        <v>63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3"/>
      <c r="R13" s="15">
        <f>H9+0.5*I9</f>
        <v>71529.980663133058</v>
      </c>
    </row>
    <row r="14" spans="2:18" ht="14.65" thickBot="1" x14ac:dyDescent="0.5"/>
    <row r="15" spans="2:18" ht="14.65" thickBot="1" x14ac:dyDescent="0.5">
      <c r="B15" s="11" t="s">
        <v>65</v>
      </c>
      <c r="C15" s="29">
        <f>J9</f>
        <v>2106.2916327805947</v>
      </c>
      <c r="D15" s="12" t="s">
        <v>64</v>
      </c>
      <c r="E15" s="17">
        <v>1250</v>
      </c>
    </row>
    <row r="16" spans="2:18" x14ac:dyDescent="0.45">
      <c r="G16" s="18"/>
      <c r="H16" s="18"/>
      <c r="I16" s="18"/>
      <c r="J16" s="18"/>
    </row>
    <row r="17" spans="2:18" ht="14.65" thickBot="1" x14ac:dyDescent="0.5"/>
    <row r="18" spans="2:18" x14ac:dyDescent="0.45">
      <c r="B18" s="16" t="s">
        <v>46</v>
      </c>
      <c r="C18" s="2" t="s">
        <v>47</v>
      </c>
      <c r="D18" s="2" t="s">
        <v>48</v>
      </c>
      <c r="E18" s="2" t="s">
        <v>49</v>
      </c>
      <c r="F18" s="2" t="s">
        <v>50</v>
      </c>
      <c r="G18" s="2" t="s">
        <v>51</v>
      </c>
      <c r="H18" s="2" t="s">
        <v>52</v>
      </c>
      <c r="I18" s="2" t="s">
        <v>53</v>
      </c>
      <c r="J18" s="3" t="s">
        <v>54</v>
      </c>
    </row>
    <row r="19" spans="2:18" x14ac:dyDescent="0.45">
      <c r="B19" s="4">
        <v>1</v>
      </c>
      <c r="C19" s="5">
        <v>3200</v>
      </c>
      <c r="D19" s="5">
        <v>110</v>
      </c>
      <c r="E19" s="5">
        <v>150</v>
      </c>
      <c r="F19" s="5">
        <v>14</v>
      </c>
      <c r="G19" s="25">
        <v>29.895940960754821</v>
      </c>
      <c r="H19" s="25">
        <f xml:space="preserve"> D19*C19/G19</f>
        <v>11774.173639895782</v>
      </c>
      <c r="I19" s="25">
        <f>E19*G19</f>
        <v>4484.3911441132232</v>
      </c>
      <c r="J19" s="26">
        <f>F19*G19</f>
        <v>418.54317345056751</v>
      </c>
    </row>
    <row r="20" spans="2:18" x14ac:dyDescent="0.45">
      <c r="B20" s="4">
        <v>2</v>
      </c>
      <c r="C20" s="5">
        <v>2100</v>
      </c>
      <c r="D20" s="5">
        <v>150</v>
      </c>
      <c r="E20" s="5">
        <v>260</v>
      </c>
      <c r="F20" s="5">
        <v>5</v>
      </c>
      <c r="G20" s="25">
        <v>35.528989559542282</v>
      </c>
      <c r="H20" s="25">
        <f xml:space="preserve"> D20*C20/G20</f>
        <v>8865.9993966926122</v>
      </c>
      <c r="I20" s="25">
        <f>E20*G20</f>
        <v>9237.5372854809939</v>
      </c>
      <c r="J20" s="26">
        <f>F20*G20</f>
        <v>177.64494779771141</v>
      </c>
    </row>
    <row r="21" spans="2:18" x14ac:dyDescent="0.45">
      <c r="B21" s="4">
        <v>3</v>
      </c>
      <c r="C21" s="5">
        <v>5400</v>
      </c>
      <c r="D21" s="5">
        <v>120</v>
      </c>
      <c r="E21" s="5">
        <v>240</v>
      </c>
      <c r="F21" s="5">
        <v>3</v>
      </c>
      <c r="G21" s="25">
        <v>57.836086839000345</v>
      </c>
      <c r="H21" s="25">
        <f xml:space="preserve"> D21*C21/G21</f>
        <v>11204.077513125198</v>
      </c>
      <c r="I21" s="25">
        <f>E21*G21</f>
        <v>13880.660841360082</v>
      </c>
      <c r="J21" s="26">
        <f>F21*G21</f>
        <v>173.50826051700102</v>
      </c>
    </row>
    <row r="22" spans="2:18" x14ac:dyDescent="0.45">
      <c r="B22" s="4">
        <v>4</v>
      </c>
      <c r="C22" s="5">
        <v>7900</v>
      </c>
      <c r="D22" s="5">
        <v>130</v>
      </c>
      <c r="E22" s="5">
        <v>200</v>
      </c>
      <c r="F22" s="5">
        <v>4</v>
      </c>
      <c r="G22" s="25">
        <v>73.210130302841023</v>
      </c>
      <c r="H22" s="25">
        <f xml:space="preserve"> D22*C22/G22</f>
        <v>14028.113264540192</v>
      </c>
      <c r="I22" s="25">
        <f>E22*G22</f>
        <v>14642.026060568205</v>
      </c>
      <c r="J22" s="26">
        <f>F22*G22</f>
        <v>292.84052121136409</v>
      </c>
    </row>
    <row r="23" spans="2:18" x14ac:dyDescent="0.45">
      <c r="B23" s="4">
        <v>5</v>
      </c>
      <c r="C23" s="5">
        <v>2420</v>
      </c>
      <c r="D23" s="5">
        <v>100</v>
      </c>
      <c r="E23" s="5">
        <v>230</v>
      </c>
      <c r="F23" s="5">
        <v>6</v>
      </c>
      <c r="G23" s="25">
        <v>31.24384950389268</v>
      </c>
      <c r="H23" s="25">
        <f xml:space="preserve"> D23*C23/G23</f>
        <v>7745.5244421737834</v>
      </c>
      <c r="I23" s="25">
        <f>E23*G23</f>
        <v>7186.085385895316</v>
      </c>
      <c r="J23" s="26">
        <f>F23*G23</f>
        <v>187.46309702335608</v>
      </c>
      <c r="O23" t="s">
        <v>56</v>
      </c>
    </row>
    <row r="24" spans="2:18" ht="14.65" thickBot="1" x14ac:dyDescent="0.5">
      <c r="B24" s="7"/>
      <c r="C24" s="8"/>
      <c r="D24" s="8"/>
      <c r="E24" s="8"/>
      <c r="F24" s="8"/>
      <c r="G24" s="8"/>
      <c r="H24" s="27">
        <f>SUM(H19:H23)</f>
        <v>53617.888256427563</v>
      </c>
      <c r="I24" s="27">
        <f>SUM(I19:I23)</f>
        <v>49430.700717417814</v>
      </c>
      <c r="J24" s="28">
        <f>SUM(J19:J23)</f>
        <v>1250.0000000000002</v>
      </c>
    </row>
    <row r="25" spans="2:18" ht="14.65" thickBot="1" x14ac:dyDescent="0.5"/>
    <row r="26" spans="2:18" ht="14.65" thickBot="1" x14ac:dyDescent="0.5">
      <c r="B26" s="51" t="s">
        <v>55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3"/>
    </row>
    <row r="27" spans="2:18" ht="14.65" thickBot="1" x14ac:dyDescent="0.5"/>
    <row r="28" spans="2:18" ht="14.65" thickBot="1" x14ac:dyDescent="0.5">
      <c r="B28" s="51" t="s">
        <v>66</v>
      </c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3"/>
      <c r="R28" s="15">
        <f>H24 + 0.5*I24</f>
        <v>78333.238615136477</v>
      </c>
    </row>
    <row r="29" spans="2:18" ht="14.65" thickBot="1" x14ac:dyDescent="0.5"/>
    <row r="30" spans="2:18" ht="14.65" thickBot="1" x14ac:dyDescent="0.5">
      <c r="B30" s="11" t="s">
        <v>62</v>
      </c>
      <c r="C30" s="12" t="s">
        <v>17</v>
      </c>
      <c r="D30" s="17">
        <v>1250</v>
      </c>
    </row>
    <row r="32" spans="2:18" ht="14.65" thickBot="1" x14ac:dyDescent="0.5"/>
    <row r="33" spans="2:16" ht="16.25" customHeight="1" x14ac:dyDescent="0.45">
      <c r="B33" s="62" t="s">
        <v>57</v>
      </c>
      <c r="C33" s="63"/>
      <c r="D33" s="66" t="s">
        <v>58</v>
      </c>
      <c r="E33" s="66"/>
      <c r="F33" s="66" t="s">
        <v>59</v>
      </c>
      <c r="G33" s="68"/>
    </row>
    <row r="34" spans="2:16" x14ac:dyDescent="0.45">
      <c r="B34" s="64"/>
      <c r="C34" s="65"/>
      <c r="D34" s="67"/>
      <c r="E34" s="67"/>
      <c r="F34" s="67"/>
      <c r="G34" s="69"/>
    </row>
    <row r="35" spans="2:16" ht="54.4" customHeight="1" x14ac:dyDescent="0.45">
      <c r="B35" s="70" t="s">
        <v>60</v>
      </c>
      <c r="C35" s="67"/>
      <c r="D35" s="58">
        <f>J9</f>
        <v>2106.2916327805947</v>
      </c>
      <c r="E35" s="58"/>
      <c r="F35" s="58">
        <f>R13</f>
        <v>71529.980663133058</v>
      </c>
      <c r="G35" s="60"/>
      <c r="K35" s="21"/>
      <c r="L35" s="10"/>
      <c r="M35" s="10"/>
      <c r="N35" s="10"/>
      <c r="O35" s="22"/>
      <c r="P35" s="22"/>
    </row>
    <row r="36" spans="2:16" ht="14.25" customHeight="1" x14ac:dyDescent="0.45">
      <c r="B36" s="54" t="s">
        <v>61</v>
      </c>
      <c r="C36" s="55"/>
      <c r="D36" s="58">
        <f>J24</f>
        <v>1250.0000000000002</v>
      </c>
      <c r="E36" s="58"/>
      <c r="F36" s="58">
        <f>R28</f>
        <v>78333.238615136477</v>
      </c>
      <c r="G36" s="60"/>
      <c r="I36" s="23"/>
      <c r="J36" s="23"/>
      <c r="K36" s="19"/>
      <c r="L36" s="19"/>
      <c r="M36" s="19"/>
      <c r="N36" s="19"/>
    </row>
    <row r="37" spans="2:16" x14ac:dyDescent="0.45">
      <c r="B37" s="54"/>
      <c r="C37" s="55"/>
      <c r="D37" s="58"/>
      <c r="E37" s="58"/>
      <c r="F37" s="58"/>
      <c r="G37" s="60"/>
      <c r="I37" s="23"/>
      <c r="J37" s="23"/>
      <c r="K37" s="19"/>
      <c r="L37" s="19"/>
      <c r="M37" s="19"/>
      <c r="N37" s="19"/>
    </row>
    <row r="38" spans="2:16" ht="14.25" customHeight="1" x14ac:dyDescent="0.45">
      <c r="B38" s="54"/>
      <c r="C38" s="55"/>
      <c r="D38" s="58"/>
      <c r="E38" s="58"/>
      <c r="F38" s="58"/>
      <c r="G38" s="60"/>
      <c r="I38" s="19"/>
      <c r="J38" s="19"/>
      <c r="K38" s="20"/>
      <c r="L38" s="20"/>
      <c r="M38" s="20"/>
      <c r="N38" s="20"/>
    </row>
    <row r="39" spans="2:16" x14ac:dyDescent="0.45">
      <c r="B39" s="54"/>
      <c r="C39" s="55"/>
      <c r="D39" s="58"/>
      <c r="E39" s="58"/>
      <c r="F39" s="58"/>
      <c r="G39" s="60"/>
      <c r="I39" s="19"/>
      <c r="J39" s="19"/>
      <c r="K39" s="20"/>
      <c r="L39" s="20"/>
      <c r="M39" s="20"/>
      <c r="N39" s="20"/>
    </row>
    <row r="40" spans="2:16" x14ac:dyDescent="0.45">
      <c r="B40" s="54"/>
      <c r="C40" s="55"/>
      <c r="D40" s="58"/>
      <c r="E40" s="58"/>
      <c r="F40" s="58"/>
      <c r="G40" s="60"/>
      <c r="I40" s="19"/>
      <c r="J40" s="19"/>
      <c r="K40" s="20"/>
      <c r="L40" s="20"/>
      <c r="M40" s="20"/>
      <c r="N40" s="20"/>
    </row>
    <row r="41" spans="2:16" ht="14.25" customHeight="1" thickBot="1" x14ac:dyDescent="0.5">
      <c r="B41" s="56"/>
      <c r="C41" s="57"/>
      <c r="D41" s="59"/>
      <c r="E41" s="59"/>
      <c r="F41" s="59"/>
      <c r="G41" s="61"/>
      <c r="I41" s="24"/>
      <c r="J41" s="24"/>
      <c r="K41" s="20"/>
      <c r="L41" s="20"/>
      <c r="M41" s="20"/>
      <c r="N41" s="20"/>
    </row>
    <row r="42" spans="2:16" x14ac:dyDescent="0.45">
      <c r="I42" s="24"/>
      <c r="J42" s="24"/>
      <c r="K42" s="20"/>
      <c r="L42" s="20"/>
      <c r="M42" s="20"/>
      <c r="N42" s="20"/>
    </row>
    <row r="43" spans="2:16" x14ac:dyDescent="0.45">
      <c r="I43" s="24"/>
      <c r="J43" s="24"/>
      <c r="K43" s="20"/>
      <c r="L43" s="20"/>
      <c r="M43" s="20"/>
      <c r="N43" s="20"/>
    </row>
    <row r="44" spans="2:16" x14ac:dyDescent="0.45">
      <c r="I44" s="24"/>
      <c r="J44" s="24"/>
      <c r="K44" s="20"/>
      <c r="L44" s="20"/>
      <c r="M44" s="20"/>
      <c r="N44" s="20"/>
    </row>
  </sheetData>
  <mergeCells count="14">
    <mergeCell ref="B9:G9"/>
    <mergeCell ref="B11:P11"/>
    <mergeCell ref="B36:C41"/>
    <mergeCell ref="D36:E41"/>
    <mergeCell ref="F36:G41"/>
    <mergeCell ref="B13:Q13"/>
    <mergeCell ref="B28:Q28"/>
    <mergeCell ref="B33:C34"/>
    <mergeCell ref="D33:E34"/>
    <mergeCell ref="F33:G34"/>
    <mergeCell ref="B35:C35"/>
    <mergeCell ref="B26:P26"/>
    <mergeCell ref="D35:E35"/>
    <mergeCell ref="F35:G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Ушаков</dc:creator>
  <cp:lastModifiedBy>Александр Ушаков</cp:lastModifiedBy>
  <dcterms:created xsi:type="dcterms:W3CDTF">2015-06-05T18:17:20Z</dcterms:created>
  <dcterms:modified xsi:type="dcterms:W3CDTF">2025-10-10T16:44:58Z</dcterms:modified>
</cp:coreProperties>
</file>