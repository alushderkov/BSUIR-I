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bsuir\mp2\"/>
    </mc:Choice>
  </mc:AlternateContent>
  <xr:revisionPtr revIDLastSave="0" documentId="13_ncr:1_{75693A44-852E-4196-904A-44FF38D6AD4E}" xr6:coauthVersionLast="47" xr6:coauthVersionMax="47" xr10:uidLastSave="{00000000-0000-0000-0000-000000000000}"/>
  <bookViews>
    <workbookView xWindow="-98" yWindow="-98" windowWidth="19396" windowHeight="11475" activeTab="3" xr2:uid="{00000000-000D-0000-FFFF-FFFF00000000}"/>
  </bookViews>
  <sheets>
    <sheet name="Отчет о результатах 1" sheetId="2" r:id="rId1"/>
    <sheet name="Отчет об устойчивости 1" sheetId="3" r:id="rId2"/>
    <sheet name="Отчет о пределах 1" sheetId="4" r:id="rId3"/>
    <sheet name="Sheet1" sheetId="1" r:id="rId4"/>
  </sheets>
  <definedNames>
    <definedName name="solver_adj" localSheetId="3" hidden="1">Sheet1!$C$57:$E$57</definedName>
    <definedName name="solver_cvg" localSheetId="3" hidden="1">0.0001</definedName>
    <definedName name="solver_drv" localSheetId="3" hidden="1">2</definedName>
    <definedName name="solver_eng" localSheetId="3" hidden="1">2</definedName>
    <definedName name="solver_est" localSheetId="3" hidden="1">1</definedName>
    <definedName name="solver_itr" localSheetId="3" hidden="1">2147483647</definedName>
    <definedName name="solver_lhs1" localSheetId="3" hidden="1">Sheet1!$H$61</definedName>
    <definedName name="solver_lhs2" localSheetId="3" hidden="1">Sheet1!$H$62</definedName>
    <definedName name="solver_lhs3" localSheetId="3" hidden="1">Sheet1!$H$63</definedName>
    <definedName name="solver_lhs4" localSheetId="3" hidden="1">Sheet1!$H$64</definedName>
    <definedName name="solver_mip" localSheetId="3" hidden="1">2147483647</definedName>
    <definedName name="solver_mni" localSheetId="3" hidden="1">30</definedName>
    <definedName name="solver_mrt" localSheetId="3" hidden="1">0.075</definedName>
    <definedName name="solver_msl" localSheetId="3" hidden="1">2</definedName>
    <definedName name="solver_neg" localSheetId="3" hidden="1">1</definedName>
    <definedName name="solver_nod" localSheetId="3" hidden="1">2147483647</definedName>
    <definedName name="solver_num" localSheetId="3" hidden="1">4</definedName>
    <definedName name="solver_nwt" localSheetId="3" hidden="1">1</definedName>
    <definedName name="solver_opt" localSheetId="3" hidden="1">Sheet1!$F$58</definedName>
    <definedName name="solver_pre" localSheetId="3" hidden="1">0.000001</definedName>
    <definedName name="solver_rbv" localSheetId="3" hidden="1">2</definedName>
    <definedName name="solver_rel1" localSheetId="3" hidden="1">1</definedName>
    <definedName name="solver_rel2" localSheetId="3" hidden="1">1</definedName>
    <definedName name="solver_rel3" localSheetId="3" hidden="1">1</definedName>
    <definedName name="solver_rel4" localSheetId="3" hidden="1">1</definedName>
    <definedName name="solver_rhs1" localSheetId="3" hidden="1">Sheet1!$F$61</definedName>
    <definedName name="solver_rhs2" localSheetId="3" hidden="1">Sheet1!$F$62</definedName>
    <definedName name="solver_rhs3" localSheetId="3" hidden="1">Sheet1!$F$63</definedName>
    <definedName name="solver_rhs4" localSheetId="3" hidden="1">Sheet1!$F$64</definedName>
    <definedName name="solver_rlx" localSheetId="3" hidden="1">2</definedName>
    <definedName name="solver_rsd" localSheetId="3" hidden="1">0</definedName>
    <definedName name="solver_scl" localSheetId="3" hidden="1">1</definedName>
    <definedName name="solver_sho" localSheetId="3" hidden="1">2</definedName>
    <definedName name="solver_sho" localSheetId="2" hidden="1">2</definedName>
    <definedName name="solver_ssz" localSheetId="3" hidden="1">100</definedName>
    <definedName name="solver_tim" localSheetId="3" hidden="1">2147483647</definedName>
    <definedName name="solver_tol" localSheetId="3" hidden="1">0.01</definedName>
    <definedName name="solver_typ" localSheetId="3" hidden="1">2</definedName>
    <definedName name="solver_val" localSheetId="3" hidden="1">0</definedName>
    <definedName name="solver_ver" localSheetId="3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62" i="1" l="1"/>
  <c r="F63" i="1"/>
  <c r="F64" i="1"/>
  <c r="F61" i="1"/>
  <c r="F58" i="1"/>
  <c r="F27" i="1"/>
  <c r="G28" i="1"/>
  <c r="E29" i="1"/>
  <c r="E28" i="1"/>
  <c r="H52" i="1"/>
  <c r="H53" i="1"/>
  <c r="H51" i="1"/>
  <c r="G48" i="1"/>
  <c r="G27" i="1"/>
  <c r="M24" i="1"/>
  <c r="M22" i="1"/>
  <c r="E27" i="1" s="1"/>
  <c r="F31" i="1"/>
  <c r="G31" i="1"/>
  <c r="H31" i="1"/>
  <c r="I31" i="1"/>
  <c r="J31" i="1"/>
  <c r="K31" i="1"/>
  <c r="L31" i="1"/>
  <c r="E31" i="1"/>
  <c r="F29" i="1"/>
  <c r="G29" i="1"/>
  <c r="H29" i="1"/>
  <c r="I29" i="1"/>
  <c r="J29" i="1"/>
  <c r="K29" i="1"/>
  <c r="L29" i="1"/>
  <c r="F28" i="1"/>
  <c r="H28" i="1"/>
  <c r="I28" i="1"/>
  <c r="J28" i="1"/>
  <c r="K28" i="1"/>
  <c r="L28" i="1"/>
  <c r="I27" i="1"/>
  <c r="H27" i="1"/>
  <c r="J27" i="1"/>
  <c r="K27" i="1"/>
  <c r="L27" i="1"/>
  <c r="K34" i="1" l="1"/>
  <c r="G36" i="1"/>
  <c r="F33" i="1"/>
  <c r="J34" i="1"/>
  <c r="L32" i="1"/>
  <c r="J36" i="1"/>
  <c r="E34" i="1"/>
  <c r="I36" i="1"/>
  <c r="K32" i="1"/>
  <c r="K37" i="1" s="1"/>
  <c r="L34" i="1"/>
  <c r="L39" i="1" s="1"/>
  <c r="H36" i="1"/>
  <c r="H41" i="1" s="1"/>
  <c r="I34" i="1"/>
  <c r="I39" i="1" s="1"/>
  <c r="M28" i="1"/>
  <c r="L33" i="1"/>
  <c r="G34" i="1"/>
  <c r="K33" i="1"/>
  <c r="F34" i="1"/>
  <c r="I32" i="1"/>
  <c r="H34" i="1"/>
  <c r="I33" i="1"/>
  <c r="I38" i="1" s="1"/>
  <c r="L36" i="1"/>
  <c r="F36" i="1"/>
  <c r="J33" i="1"/>
  <c r="J38" i="1" s="1"/>
  <c r="K36" i="1"/>
  <c r="K41" i="1" s="1"/>
  <c r="M27" i="1"/>
  <c r="E32" i="1"/>
  <c r="F32" i="1"/>
  <c r="J32" i="1"/>
  <c r="G32" i="1"/>
  <c r="H32" i="1"/>
  <c r="H33" i="1"/>
  <c r="E36" i="1"/>
  <c r="G33" i="1"/>
  <c r="G38" i="1" s="1"/>
  <c r="F41" i="1" l="1"/>
  <c r="L37" i="1"/>
  <c r="L41" i="1"/>
  <c r="E41" i="1"/>
  <c r="I41" i="1"/>
  <c r="M33" i="1"/>
  <c r="H38" i="1"/>
  <c r="H39" i="1"/>
  <c r="E39" i="1"/>
  <c r="M34" i="1"/>
  <c r="H37" i="1"/>
  <c r="I37" i="1"/>
  <c r="J41" i="1"/>
  <c r="G37" i="1"/>
  <c r="F39" i="1"/>
  <c r="J37" i="1"/>
  <c r="K38" i="1"/>
  <c r="J39" i="1"/>
  <c r="F37" i="1"/>
  <c r="G39" i="1"/>
  <c r="F38" i="1"/>
  <c r="E37" i="1"/>
  <c r="M32" i="1"/>
  <c r="L38" i="1"/>
  <c r="G41" i="1"/>
  <c r="K39" i="1"/>
</calcChain>
</file>

<file path=xl/sharedStrings.xml><?xml version="1.0" encoding="utf-8"?>
<sst xmlns="http://schemas.openxmlformats.org/spreadsheetml/2006/main" count="245" uniqueCount="127">
  <si>
    <t>Z</t>
  </si>
  <si>
    <t>max</t>
  </si>
  <si>
    <t>≤</t>
  </si>
  <si>
    <r>
      <t>y</t>
    </r>
    <r>
      <rPr>
        <sz val="8"/>
        <color theme="1"/>
        <rFont val="Calibri"/>
        <family val="2"/>
        <scheme val="minor"/>
      </rPr>
      <t>i</t>
    </r>
  </si>
  <si>
    <t>f</t>
  </si>
  <si>
    <t>min</t>
  </si>
  <si>
    <t>≥</t>
  </si>
  <si>
    <t>Iteration number</t>
  </si>
  <si>
    <t>Basic variables</t>
  </si>
  <si>
    <t>C</t>
  </si>
  <si>
    <t>b</t>
  </si>
  <si>
    <r>
      <t>x</t>
    </r>
    <r>
      <rPr>
        <sz val="8"/>
        <color theme="1"/>
        <rFont val="Calibri"/>
        <family val="2"/>
        <scheme val="minor"/>
      </rPr>
      <t>5</t>
    </r>
  </si>
  <si>
    <r>
      <t>x</t>
    </r>
    <r>
      <rPr>
        <sz val="8"/>
        <color theme="1"/>
        <rFont val="Calibri"/>
        <family val="2"/>
        <scheme val="minor"/>
      </rPr>
      <t>6</t>
    </r>
  </si>
  <si>
    <r>
      <t>x</t>
    </r>
    <r>
      <rPr>
        <sz val="8"/>
        <color theme="1"/>
        <rFont val="Calibri"/>
        <family val="2"/>
        <scheme val="minor"/>
      </rPr>
      <t>7</t>
    </r>
  </si>
  <si>
    <t>x1</t>
  </si>
  <si>
    <r>
      <t>x</t>
    </r>
    <r>
      <rPr>
        <sz val="8"/>
        <color theme="1"/>
        <rFont val="Calibri"/>
        <family val="2"/>
        <scheme val="minor"/>
      </rPr>
      <t>1</t>
    </r>
  </si>
  <si>
    <r>
      <t>x</t>
    </r>
    <r>
      <rPr>
        <sz val="8"/>
        <color theme="1"/>
        <rFont val="Calibri"/>
        <family val="2"/>
        <scheme val="minor"/>
      </rPr>
      <t>2</t>
    </r>
  </si>
  <si>
    <r>
      <t>x</t>
    </r>
    <r>
      <rPr>
        <sz val="8"/>
        <color theme="1"/>
        <rFont val="Calibri"/>
        <family val="2"/>
        <scheme val="minor"/>
      </rPr>
      <t>3</t>
    </r>
  </si>
  <si>
    <r>
      <t>x</t>
    </r>
    <r>
      <rPr>
        <sz val="8"/>
        <color theme="1"/>
        <rFont val="Calibri"/>
        <family val="2"/>
        <scheme val="minor"/>
      </rPr>
      <t>4</t>
    </r>
  </si>
  <si>
    <t>Estimates</t>
  </si>
  <si>
    <t>Corresponding dual variables</t>
  </si>
  <si>
    <r>
      <t>y</t>
    </r>
    <r>
      <rPr>
        <sz val="8"/>
        <color theme="1"/>
        <rFont val="Calibri"/>
        <family val="2"/>
        <scheme val="minor"/>
      </rPr>
      <t>1</t>
    </r>
  </si>
  <si>
    <r>
      <t>y</t>
    </r>
    <r>
      <rPr>
        <sz val="8"/>
        <color theme="1"/>
        <rFont val="Calibri"/>
        <family val="2"/>
        <scheme val="minor"/>
      </rPr>
      <t>4</t>
    </r>
  </si>
  <si>
    <r>
      <t>y</t>
    </r>
    <r>
      <rPr>
        <sz val="8"/>
        <color theme="1"/>
        <rFont val="Calibri"/>
        <family val="2"/>
        <scheme val="minor"/>
      </rPr>
      <t>5</t>
    </r>
  </si>
  <si>
    <r>
      <t>y</t>
    </r>
    <r>
      <rPr>
        <sz val="8"/>
        <color theme="1"/>
        <rFont val="Calibri"/>
        <family val="2"/>
        <scheme val="minor"/>
      </rPr>
      <t>6</t>
    </r>
  </si>
  <si>
    <r>
      <t>y</t>
    </r>
    <r>
      <rPr>
        <sz val="8"/>
        <color theme="1"/>
        <rFont val="Calibri"/>
        <family val="2"/>
        <scheme val="minor"/>
      </rPr>
      <t>7</t>
    </r>
  </si>
  <si>
    <r>
      <t>y</t>
    </r>
    <r>
      <rPr>
        <sz val="8"/>
        <color theme="1"/>
        <rFont val="Calibri"/>
        <family val="2"/>
        <scheme val="minor"/>
      </rPr>
      <t>2</t>
    </r>
  </si>
  <si>
    <r>
      <t>y</t>
    </r>
    <r>
      <rPr>
        <sz val="8"/>
        <color theme="1"/>
        <rFont val="Calibri"/>
        <family val="2"/>
        <scheme val="minor"/>
      </rPr>
      <t>3</t>
    </r>
  </si>
  <si>
    <r>
      <rPr>
        <sz val="11"/>
        <color theme="1"/>
        <rFont val="Aptos Narrow"/>
        <family val="2"/>
      </rPr>
      <t>∆</t>
    </r>
    <r>
      <rPr>
        <sz val="8"/>
        <color theme="1"/>
        <rFont val="Calibri"/>
        <family val="2"/>
      </rPr>
      <t>0</t>
    </r>
  </si>
  <si>
    <r>
      <rPr>
        <sz val="11"/>
        <color theme="1"/>
        <rFont val="Aptos Narrow"/>
        <family val="2"/>
      </rPr>
      <t>∆</t>
    </r>
    <r>
      <rPr>
        <sz val="8"/>
        <color theme="1"/>
        <rFont val="Calibri"/>
        <family val="2"/>
      </rPr>
      <t>1</t>
    </r>
  </si>
  <si>
    <r>
      <rPr>
        <sz val="11"/>
        <color theme="1"/>
        <rFont val="Aptos Narrow"/>
        <family val="2"/>
      </rPr>
      <t>∆</t>
    </r>
    <r>
      <rPr>
        <sz val="8"/>
        <color theme="1"/>
        <rFont val="Calibri"/>
        <family val="2"/>
      </rPr>
      <t>2</t>
    </r>
  </si>
  <si>
    <r>
      <rPr>
        <sz val="11"/>
        <color theme="1"/>
        <rFont val="Aptos Narrow"/>
        <family val="2"/>
      </rPr>
      <t>∆</t>
    </r>
    <r>
      <rPr>
        <sz val="8"/>
        <color theme="1"/>
        <rFont val="Calibri"/>
        <family val="2"/>
      </rPr>
      <t>3</t>
    </r>
  </si>
  <si>
    <r>
      <rPr>
        <sz val="11"/>
        <color theme="1"/>
        <rFont val="Aptos Narrow"/>
        <family val="2"/>
      </rPr>
      <t>∆</t>
    </r>
    <r>
      <rPr>
        <sz val="8"/>
        <color theme="1"/>
        <rFont val="Calibri"/>
        <family val="2"/>
      </rPr>
      <t>4</t>
    </r>
  </si>
  <si>
    <r>
      <rPr>
        <sz val="11"/>
        <color theme="1"/>
        <rFont val="Aptos Narrow"/>
        <family val="2"/>
      </rPr>
      <t>∆</t>
    </r>
    <r>
      <rPr>
        <sz val="8"/>
        <color theme="1"/>
        <rFont val="Calibri"/>
        <family val="2"/>
      </rPr>
      <t>5</t>
    </r>
  </si>
  <si>
    <r>
      <rPr>
        <sz val="11"/>
        <color theme="1"/>
        <rFont val="Aptos Narrow"/>
        <family val="2"/>
      </rPr>
      <t>∆</t>
    </r>
    <r>
      <rPr>
        <sz val="8"/>
        <color theme="1"/>
        <rFont val="Calibri"/>
        <family val="2"/>
      </rPr>
      <t>6</t>
    </r>
  </si>
  <si>
    <r>
      <rPr>
        <sz val="11"/>
        <color theme="1"/>
        <rFont val="Aptos Narrow"/>
        <family val="2"/>
      </rPr>
      <t>∆</t>
    </r>
    <r>
      <rPr>
        <sz val="8"/>
        <color theme="1"/>
        <rFont val="Calibri"/>
        <family val="2"/>
      </rPr>
      <t>7</t>
    </r>
  </si>
  <si>
    <t>Симплексные отношения</t>
  </si>
  <si>
    <t>-</t>
  </si>
  <si>
    <t>x2</t>
  </si>
  <si>
    <t>x3</t>
  </si>
  <si>
    <t>&lt;=</t>
  </si>
  <si>
    <t>View</t>
  </si>
  <si>
    <t>x4</t>
  </si>
  <si>
    <t>R1</t>
  </si>
  <si>
    <t>R2</t>
  </si>
  <si>
    <t>R3</t>
  </si>
  <si>
    <t>Name</t>
  </si>
  <si>
    <t>Value</t>
  </si>
  <si>
    <t>k of Z</t>
  </si>
  <si>
    <t>left part</t>
  </si>
  <si>
    <t>right part</t>
  </si>
  <si>
    <t>Constraints</t>
  </si>
  <si>
    <t>Z = f</t>
  </si>
  <si>
    <t>Microsoft Excel 16.0 Отчет о результатах</t>
  </si>
  <si>
    <t>Лист: [lr2_Ushakov_351001_v24.xlsx]Sheet1</t>
  </si>
  <si>
    <t>Отчет создан: 10/1/2025 12:38:30 PM</t>
  </si>
  <si>
    <t>Результат: Решение найдено. Все ограничения и условия оптимальности выполнены.</t>
  </si>
  <si>
    <t>Модуль поиска решения</t>
  </si>
  <si>
    <t>Модуль: Поиск решения лин. задач симплекс-методом</t>
  </si>
  <si>
    <t>Время решения: 0.078 секунд.</t>
  </si>
  <si>
    <t>Число итераций: 3 Число подзадач: 0</t>
  </si>
  <si>
    <t>Параметры поиска решения</t>
  </si>
  <si>
    <t>Максимальное время Без пределов,  Число итераций Без пределов, Precision 0.000001, Использовать автоматическое масштабирование</t>
  </si>
  <si>
    <t>Максимальное число подзадач Без пределов, Максимальное число целочисленных решений Без пределов, Целочисленное отклонение 1%, Считать неотрицательными</t>
  </si>
  <si>
    <t>Ячейка целевой функции (Максимум)</t>
  </si>
  <si>
    <t>Ячейка</t>
  </si>
  <si>
    <t>Имя</t>
  </si>
  <si>
    <t>Исходное значение</t>
  </si>
  <si>
    <t>Окончательное значение</t>
  </si>
  <si>
    <t>Ячейки переменных</t>
  </si>
  <si>
    <t>Целочисленное</t>
  </si>
  <si>
    <t>Ограничения</t>
  </si>
  <si>
    <t>Значение ячейки</t>
  </si>
  <si>
    <t>Формула</t>
  </si>
  <si>
    <t>Состояние</t>
  </si>
  <si>
    <t>Допуск</t>
  </si>
  <si>
    <t>$G$46</t>
  </si>
  <si>
    <t>k of Z Z = f</t>
  </si>
  <si>
    <t>$C$45</t>
  </si>
  <si>
    <t>Value x1</t>
  </si>
  <si>
    <t>Продолжить</t>
  </si>
  <si>
    <t>$D$45</t>
  </si>
  <si>
    <t>Value x2</t>
  </si>
  <si>
    <t>$E$45</t>
  </si>
  <si>
    <t>Value x3</t>
  </si>
  <si>
    <t>$F$45</t>
  </si>
  <si>
    <t>Value x4</t>
  </si>
  <si>
    <t>$H$49</t>
  </si>
  <si>
    <t>R1 left part</t>
  </si>
  <si>
    <t>$H$49&lt;=$J$49</t>
  </si>
  <si>
    <t>Привязка</t>
  </si>
  <si>
    <t>$H$50</t>
  </si>
  <si>
    <t>R2 left part</t>
  </si>
  <si>
    <t>$H$50&lt;=$J$50</t>
  </si>
  <si>
    <t>$H$51</t>
  </si>
  <si>
    <t>R3 left part</t>
  </si>
  <si>
    <t>$H$51&lt;=$J$51</t>
  </si>
  <si>
    <t>Без привязки</t>
  </si>
  <si>
    <t>$C$45:$F$45</t>
  </si>
  <si>
    <t>Microsoft Excel 16.0 Отчет об устойчивости</t>
  </si>
  <si>
    <t>Отчет создан: 10/1/2025 12:38:31 PM</t>
  </si>
  <si>
    <t>Окончательное</t>
  </si>
  <si>
    <t>Значение</t>
  </si>
  <si>
    <t>Приведенн.</t>
  </si>
  <si>
    <t>Стоимость</t>
  </si>
  <si>
    <t>Целевая функция</t>
  </si>
  <si>
    <t>Коэффициент</t>
  </si>
  <si>
    <t>Допустимое</t>
  </si>
  <si>
    <t>Увеличение</t>
  </si>
  <si>
    <t>Уменьшение</t>
  </si>
  <si>
    <t>Тень</t>
  </si>
  <si>
    <t>Цена</t>
  </si>
  <si>
    <t>Ограничение</t>
  </si>
  <si>
    <t>Правая сторона</t>
  </si>
  <si>
    <t>Microsoft Excel 16.0 Отчет о пределах</t>
  </si>
  <si>
    <t>Отчет создан: 10/1/2025 12:38:32 PM</t>
  </si>
  <si>
    <t>Переменная</t>
  </si>
  <si>
    <t>Нижний</t>
  </si>
  <si>
    <t>Предел</t>
  </si>
  <si>
    <t>Результат</t>
  </si>
  <si>
    <t>Верхний</t>
  </si>
  <si>
    <t>R4</t>
  </si>
  <si>
    <t>y1</t>
  </si>
  <si>
    <t>y2</t>
  </si>
  <si>
    <t>y3</t>
  </si>
  <si>
    <t>&gt;=</t>
  </si>
  <si>
    <t>sign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</si>
</sst>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Aptos Narrow"/>
      <family val="2"/>
    </font>
    <font>
      <sz val="18"/>
      <color theme="1"/>
      <name val="Aptos Narrow"/>
      <family val="2"/>
    </font>
    <font>
      <sz val="1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1"/>
      <name val="Calibri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  <font>
      <b/>
      <sz val="11"/>
      <color indexed="18"/>
      <name val="Calibri"/>
      <family val="2"/>
      <scheme val="minor"/>
    </font>
    <font>
      <b/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7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 style="thin">
        <color theme="0"/>
      </top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9" fillId="0" borderId="0"/>
    <xf numFmtId="9" fontId="9" fillId="0" borderId="0" applyFont="0" applyFill="0" applyBorder="0" applyAlignment="0" applyProtection="0"/>
    <xf numFmtId="0" fontId="9" fillId="2" borderId="0" applyNumberFormat="0" applyBorder="0" applyAlignment="0" applyProtection="0"/>
  </cellStyleXfs>
  <cellXfs count="198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5" borderId="14" xfId="0" applyFill="1" applyBorder="1" applyAlignment="1">
      <alignment horizontal="center" vertical="center"/>
    </xf>
    <xf numFmtId="0" fontId="0" fillId="5" borderId="19" xfId="0" applyFill="1" applyBorder="1" applyAlignment="1">
      <alignment horizontal="center" vertical="center"/>
    </xf>
    <xf numFmtId="0" fontId="0" fillId="5" borderId="18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28" xfId="0" applyFill="1" applyBorder="1" applyAlignment="1">
      <alignment horizontal="center" vertical="center"/>
    </xf>
    <xf numFmtId="0" fontId="0" fillId="5" borderId="17" xfId="0" applyFill="1" applyBorder="1" applyAlignment="1">
      <alignment horizontal="center" vertical="center"/>
    </xf>
    <xf numFmtId="0" fontId="0" fillId="5" borderId="33" xfId="0" applyFill="1" applyBorder="1" applyAlignment="1">
      <alignment horizontal="center" vertical="center"/>
    </xf>
    <xf numFmtId="0" fontId="1" fillId="0" borderId="2" xfId="1" applyFont="1" applyBorder="1" applyAlignment="1">
      <alignment horizontal="center"/>
    </xf>
    <xf numFmtId="0" fontId="1" fillId="0" borderId="3" xfId="1" applyFont="1" applyBorder="1" applyAlignment="1">
      <alignment horizontal="center"/>
    </xf>
    <xf numFmtId="0" fontId="1" fillId="0" borderId="5" xfId="1" applyFont="1" applyBorder="1" applyAlignment="1">
      <alignment horizontal="center"/>
    </xf>
    <xf numFmtId="0" fontId="1" fillId="0" borderId="1" xfId="3" applyFont="1" applyFill="1" applyBorder="1" applyAlignment="1">
      <alignment horizontal="center"/>
    </xf>
    <xf numFmtId="0" fontId="1" fillId="0" borderId="7" xfId="1" applyFont="1" applyBorder="1" applyAlignment="1">
      <alignment horizontal="center"/>
    </xf>
    <xf numFmtId="0" fontId="1" fillId="0" borderId="8" xfId="1" applyFont="1" applyBorder="1" applyAlignment="1">
      <alignment horizontal="center"/>
    </xf>
    <xf numFmtId="0" fontId="1" fillId="0" borderId="8" xfId="3" applyFont="1" applyFill="1" applyBorder="1" applyAlignment="1">
      <alignment horizontal="center"/>
    </xf>
    <xf numFmtId="0" fontId="1" fillId="0" borderId="1" xfId="1" applyFont="1" applyBorder="1" applyAlignment="1">
      <alignment horizontal="center"/>
    </xf>
    <xf numFmtId="0" fontId="1" fillId="0" borderId="9" xfId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3" xfId="1" applyFont="1" applyFill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5" xfId="1" applyFont="1" applyBorder="1" applyAlignment="1">
      <alignment horizontal="center"/>
    </xf>
    <xf numFmtId="0" fontId="1" fillId="0" borderId="1" xfId="1" applyFont="1" applyBorder="1" applyAlignment="1">
      <alignment horizontal="center"/>
    </xf>
    <xf numFmtId="0" fontId="1" fillId="0" borderId="6" xfId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/>
    <xf numFmtId="0" fontId="4" fillId="0" borderId="0" xfId="0" applyFont="1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5" borderId="58" xfId="0" applyFill="1" applyBorder="1" applyAlignment="1">
      <alignment horizontal="center" vertical="center"/>
    </xf>
    <xf numFmtId="0" fontId="0" fillId="0" borderId="59" xfId="0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61" xfId="0" applyBorder="1" applyAlignment="1">
      <alignment horizontal="center" vertical="center"/>
    </xf>
    <xf numFmtId="0" fontId="0" fillId="5" borderId="20" xfId="0" applyFill="1" applyBorder="1" applyAlignment="1">
      <alignment horizontal="center" vertical="center"/>
    </xf>
    <xf numFmtId="0" fontId="0" fillId="0" borderId="62" xfId="0" applyBorder="1" applyAlignment="1">
      <alignment horizontal="center" vertical="center"/>
    </xf>
    <xf numFmtId="0" fontId="0" fillId="0" borderId="58" xfId="0" applyBorder="1" applyAlignment="1">
      <alignment horizontal="center" vertical="center"/>
    </xf>
    <xf numFmtId="0" fontId="8" fillId="5" borderId="63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5" borderId="23" xfId="0" applyFill="1" applyBorder="1" applyAlignment="1">
      <alignment horizontal="center" vertical="center"/>
    </xf>
    <xf numFmtId="0" fontId="0" fillId="5" borderId="63" xfId="0" applyFill="1" applyBorder="1" applyAlignment="1">
      <alignment horizontal="center" vertical="center"/>
    </xf>
    <xf numFmtId="0" fontId="0" fillId="0" borderId="17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6" borderId="30" xfId="0" applyFill="1" applyBorder="1" applyAlignment="1">
      <alignment horizontal="center" vertical="center"/>
    </xf>
    <xf numFmtId="0" fontId="0" fillId="6" borderId="61" xfId="0" applyFill="1" applyBorder="1" applyAlignment="1">
      <alignment horizontal="center" vertical="center"/>
    </xf>
    <xf numFmtId="0" fontId="0" fillId="6" borderId="13" xfId="0" applyFill="1" applyBorder="1" applyAlignment="1">
      <alignment horizontal="center"/>
    </xf>
    <xf numFmtId="0" fontId="10" fillId="0" borderId="0" xfId="0" applyFont="1"/>
    <xf numFmtId="0" fontId="0" fillId="0" borderId="67" xfId="0" applyFill="1" applyBorder="1" applyAlignment="1"/>
    <xf numFmtId="0" fontId="11" fillId="0" borderId="66" xfId="0" applyFont="1" applyFill="1" applyBorder="1" applyAlignment="1">
      <alignment horizontal="center"/>
    </xf>
    <xf numFmtId="0" fontId="0" fillId="0" borderId="0" xfId="0" applyFill="1" applyBorder="1" applyAlignment="1"/>
    <xf numFmtId="0" fontId="0" fillId="0" borderId="68" xfId="0" applyFill="1" applyBorder="1" applyAlignment="1"/>
    <xf numFmtId="0" fontId="0" fillId="0" borderId="67" xfId="0" applyNumberFormat="1" applyFill="1" applyBorder="1" applyAlignment="1"/>
    <xf numFmtId="0" fontId="0" fillId="0" borderId="68" xfId="0" applyNumberFormat="1" applyFill="1" applyBorder="1" applyAlignment="1"/>
    <xf numFmtId="0" fontId="0" fillId="0" borderId="0" xfId="0" applyNumberFormat="1" applyFill="1" applyBorder="1" applyAlignment="1"/>
    <xf numFmtId="0" fontId="11" fillId="0" borderId="0" xfId="0" applyFont="1" applyFill="1" applyBorder="1" applyAlignment="1">
      <alignment horizontal="center"/>
    </xf>
    <xf numFmtId="0" fontId="12" fillId="0" borderId="0" xfId="0" applyFont="1" applyFill="1" applyBorder="1" applyAlignment="1">
      <alignment horizontal="left"/>
    </xf>
    <xf numFmtId="0" fontId="11" fillId="0" borderId="64" xfId="0" applyFont="1" applyFill="1" applyBorder="1" applyAlignment="1">
      <alignment horizontal="center"/>
    </xf>
    <xf numFmtId="0" fontId="11" fillId="0" borderId="65" xfId="0" applyFont="1" applyFill="1" applyBorder="1" applyAlignment="1">
      <alignment horizontal="center"/>
    </xf>
    <xf numFmtId="0" fontId="0" fillId="0" borderId="49" xfId="0" applyFill="1" applyBorder="1" applyAlignment="1">
      <alignment horizontal="center" vertical="center"/>
    </xf>
    <xf numFmtId="0" fontId="1" fillId="6" borderId="1" xfId="3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0" borderId="39" xfId="1" applyFont="1" applyBorder="1" applyAlignment="1">
      <alignment horizontal="center"/>
    </xf>
    <xf numFmtId="0" fontId="1" fillId="0" borderId="69" xfId="1" applyFont="1" applyBorder="1" applyAlignment="1">
      <alignment horizontal="center"/>
    </xf>
    <xf numFmtId="0" fontId="1" fillId="0" borderId="10" xfId="1" applyFont="1" applyBorder="1" applyAlignment="1">
      <alignment horizontal="center"/>
    </xf>
    <xf numFmtId="0" fontId="0" fillId="0" borderId="0" xfId="0" applyBorder="1" applyAlignment="1">
      <alignment vertical="center"/>
    </xf>
    <xf numFmtId="0" fontId="1" fillId="0" borderId="0" xfId="1" applyFont="1" applyBorder="1" applyAlignment="1">
      <alignment vertical="center"/>
    </xf>
    <xf numFmtId="0" fontId="1" fillId="0" borderId="1" xfId="1" applyFont="1" applyBorder="1" applyAlignment="1">
      <alignment horizontal="center" vertical="center"/>
    </xf>
    <xf numFmtId="0" fontId="1" fillId="7" borderId="1" xfId="3" applyFont="1" applyFill="1" applyBorder="1" applyAlignment="1">
      <alignment horizontal="center" vertical="center"/>
    </xf>
    <xf numFmtId="0" fontId="1" fillId="0" borderId="2" xfId="1" applyFont="1" applyBorder="1" applyAlignment="1">
      <alignment horizontal="center" vertical="center"/>
    </xf>
    <xf numFmtId="0" fontId="1" fillId="0" borderId="3" xfId="1" applyFont="1" applyBorder="1" applyAlignment="1">
      <alignment horizontal="center" vertical="center"/>
    </xf>
    <xf numFmtId="0" fontId="1" fillId="0" borderId="5" xfId="1" applyFont="1" applyBorder="1" applyAlignment="1">
      <alignment horizontal="center" vertical="center"/>
    </xf>
    <xf numFmtId="0" fontId="1" fillId="0" borderId="6" xfId="1" applyFont="1" applyBorder="1" applyAlignment="1">
      <alignment horizontal="center" vertical="center" wrapText="1"/>
    </xf>
    <xf numFmtId="0" fontId="1" fillId="0" borderId="6" xfId="1" applyFont="1" applyBorder="1" applyAlignment="1">
      <alignment horizontal="center" vertical="center"/>
    </xf>
    <xf numFmtId="0" fontId="1" fillId="0" borderId="7" xfId="1" applyFont="1" applyBorder="1" applyAlignment="1">
      <alignment horizontal="center" vertical="center"/>
    </xf>
    <xf numFmtId="0" fontId="1" fillId="0" borderId="8" xfId="1" applyFont="1" applyBorder="1" applyAlignment="1">
      <alignment horizontal="center" vertical="center"/>
    </xf>
    <xf numFmtId="0" fontId="1" fillId="0" borderId="9" xfId="1" applyFont="1" applyBorder="1" applyAlignment="1">
      <alignment horizontal="center" vertical="center"/>
    </xf>
    <xf numFmtId="0" fontId="1" fillId="6" borderId="1" xfId="3" applyFont="1" applyFill="1" applyBorder="1" applyAlignment="1">
      <alignment horizontal="center" vertical="center"/>
    </xf>
    <xf numFmtId="0" fontId="1" fillId="7" borderId="8" xfId="3" applyFont="1" applyFill="1" applyBorder="1" applyAlignment="1">
      <alignment horizontal="center" vertical="center"/>
    </xf>
    <xf numFmtId="0" fontId="1" fillId="0" borderId="71" xfId="1" applyFont="1" applyBorder="1" applyAlignment="1">
      <alignment horizontal="center" vertical="center"/>
    </xf>
    <xf numFmtId="0" fontId="1" fillId="0" borderId="70" xfId="1" applyFont="1" applyBorder="1" applyAlignment="1">
      <alignment horizontal="center" vertical="center"/>
    </xf>
    <xf numFmtId="0" fontId="1" fillId="0" borderId="51" xfId="1" applyFont="1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57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46" xfId="0" applyBorder="1" applyAlignment="1">
      <alignment horizontal="center"/>
    </xf>
    <xf numFmtId="0" fontId="1" fillId="0" borderId="5" xfId="1" applyFont="1" applyBorder="1" applyAlignment="1">
      <alignment horizontal="center"/>
    </xf>
    <xf numFmtId="0" fontId="1" fillId="0" borderId="1" xfId="1" applyFont="1" applyBorder="1" applyAlignment="1">
      <alignment horizontal="center"/>
    </xf>
    <xf numFmtId="0" fontId="1" fillId="0" borderId="6" xfId="1" applyFont="1" applyBorder="1" applyAlignment="1">
      <alignment horizontal="center"/>
    </xf>
    <xf numFmtId="0" fontId="1" fillId="0" borderId="47" xfId="1" applyFont="1" applyBorder="1" applyAlignment="1">
      <alignment horizontal="center"/>
    </xf>
    <xf numFmtId="0" fontId="1" fillId="0" borderId="43" xfId="1" applyFont="1" applyBorder="1" applyAlignment="1">
      <alignment horizontal="center"/>
    </xf>
    <xf numFmtId="0" fontId="1" fillId="0" borderId="44" xfId="1" applyFont="1" applyBorder="1" applyAlignment="1">
      <alignment horizontal="center"/>
    </xf>
    <xf numFmtId="0" fontId="1" fillId="0" borderId="12" xfId="1" applyFont="1" applyBorder="1" applyAlignment="1">
      <alignment horizontal="center"/>
    </xf>
    <xf numFmtId="0" fontId="1" fillId="0" borderId="0" xfId="1" applyFont="1" applyBorder="1" applyAlignment="1">
      <alignment horizontal="center"/>
    </xf>
    <xf numFmtId="0" fontId="1" fillId="0" borderId="38" xfId="1" applyFont="1" applyBorder="1" applyAlignment="1">
      <alignment horizontal="center"/>
    </xf>
    <xf numFmtId="0" fontId="1" fillId="0" borderId="15" xfId="1" applyFont="1" applyBorder="1" applyAlignment="1">
      <alignment horizontal="center"/>
    </xf>
    <xf numFmtId="0" fontId="1" fillId="0" borderId="35" xfId="1" applyFont="1" applyBorder="1" applyAlignment="1">
      <alignment horizontal="center"/>
    </xf>
    <xf numFmtId="0" fontId="1" fillId="0" borderId="37" xfId="1" applyFont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0" fillId="0" borderId="48" xfId="0" applyBorder="1" applyAlignment="1">
      <alignment horizontal="left" vertical="center"/>
    </xf>
    <xf numFmtId="0" fontId="0" fillId="0" borderId="50" xfId="0" applyBorder="1" applyAlignment="1">
      <alignment horizontal="left" vertical="center"/>
    </xf>
    <xf numFmtId="0" fontId="12" fillId="0" borderId="50" xfId="0" applyFont="1" applyBorder="1" applyAlignment="1">
      <alignment horizontal="left" vertical="center"/>
    </xf>
    <xf numFmtId="0" fontId="0" fillId="0" borderId="45" xfId="0" applyBorder="1" applyAlignment="1">
      <alignment horizontal="left" vertical="center"/>
    </xf>
    <xf numFmtId="0" fontId="0" fillId="0" borderId="47" xfId="0" applyBorder="1" applyAlignment="1">
      <alignment horizontal="center" vertical="center" wrapText="1"/>
    </xf>
    <xf numFmtId="0" fontId="0" fillId="0" borderId="44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0" fillId="5" borderId="13" xfId="0" applyFill="1" applyBorder="1" applyAlignment="1">
      <alignment horizontal="center"/>
    </xf>
    <xf numFmtId="0" fontId="0" fillId="5" borderId="51" xfId="0" applyFill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3" xfId="0" applyFill="1" applyBorder="1" applyAlignment="1">
      <alignment horizontal="center" vertical="center"/>
    </xf>
    <xf numFmtId="0" fontId="0" fillId="0" borderId="51" xfId="0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46" xfId="0" applyFont="1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0" fillId="5" borderId="14" xfId="0" applyFill="1" applyBorder="1" applyAlignment="1">
      <alignment horizontal="center"/>
    </xf>
    <xf numFmtId="0" fontId="0" fillId="5" borderId="36" xfId="0" applyFill="1" applyBorder="1" applyAlignment="1">
      <alignment horizontal="center"/>
    </xf>
    <xf numFmtId="0" fontId="0" fillId="0" borderId="16" xfId="0" applyBorder="1" applyAlignment="1">
      <alignment horizontal="center" vertical="center"/>
    </xf>
    <xf numFmtId="0" fontId="0" fillId="0" borderId="56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55" xfId="0" applyBorder="1" applyAlignment="1">
      <alignment horizontal="center" vertical="center" wrapText="1"/>
    </xf>
    <xf numFmtId="0" fontId="0" fillId="0" borderId="50" xfId="0" applyBorder="1" applyAlignment="1">
      <alignment horizontal="center" vertical="center" wrapText="1"/>
    </xf>
    <xf numFmtId="0" fontId="0" fillId="0" borderId="42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</cellXfs>
  <cellStyles count="4">
    <cellStyle name="20% — акцент2 2" xfId="3" xr:uid="{39BA2C90-56C9-4BF7-8B11-EF881F823DB6}"/>
    <cellStyle name="Обычный" xfId="0" builtinId="0"/>
    <cellStyle name="Обычный 2" xfId="1" xr:uid="{078B9EA8-EA84-45BC-B48C-C840B58C9544}"/>
    <cellStyle name="Процентный 2" xfId="2" xr:uid="{8B2B3693-BD3B-45B9-8DEC-5E1CF214497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F2DCA-8D1A-4FAB-A7C5-92F50C2B607E}">
  <dimension ref="A1:G33"/>
  <sheetViews>
    <sheetView showGridLines="0" topLeftCell="A12" workbookViewId="0"/>
  </sheetViews>
  <sheetFormatPr defaultRowHeight="14.25" outlineLevelRow="1" x14ac:dyDescent="0.45"/>
  <cols>
    <col min="1" max="1" width="2.1328125" customWidth="1"/>
    <col min="2" max="2" width="6.73046875" bestFit="1" customWidth="1"/>
    <col min="3" max="3" width="9.6640625" bestFit="1" customWidth="1"/>
    <col min="4" max="4" width="17.46484375" bestFit="1" customWidth="1"/>
    <col min="5" max="5" width="22.33203125" bestFit="1" customWidth="1"/>
    <col min="6" max="6" width="14.1328125" bestFit="1" customWidth="1"/>
    <col min="7" max="7" width="6.796875" bestFit="1" customWidth="1"/>
  </cols>
  <sheetData>
    <row r="1" spans="1:5" x14ac:dyDescent="0.45">
      <c r="A1" s="86" t="s">
        <v>53</v>
      </c>
    </row>
    <row r="2" spans="1:5" x14ac:dyDescent="0.45">
      <c r="A2" s="86" t="s">
        <v>54</v>
      </c>
    </row>
    <row r="3" spans="1:5" x14ac:dyDescent="0.45">
      <c r="A3" s="86" t="s">
        <v>55</v>
      </c>
    </row>
    <row r="4" spans="1:5" x14ac:dyDescent="0.45">
      <c r="A4" s="86" t="s">
        <v>56</v>
      </c>
    </row>
    <row r="5" spans="1:5" x14ac:dyDescent="0.45">
      <c r="A5" s="86" t="s">
        <v>57</v>
      </c>
    </row>
    <row r="6" spans="1:5" hidden="1" outlineLevel="1" x14ac:dyDescent="0.45">
      <c r="A6" s="86"/>
      <c r="B6" t="s">
        <v>58</v>
      </c>
    </row>
    <row r="7" spans="1:5" hidden="1" outlineLevel="1" x14ac:dyDescent="0.45">
      <c r="A7" s="86"/>
      <c r="B7" t="s">
        <v>59</v>
      </c>
    </row>
    <row r="8" spans="1:5" hidden="1" outlineLevel="1" x14ac:dyDescent="0.45">
      <c r="A8" s="86"/>
      <c r="B8" t="s">
        <v>60</v>
      </c>
    </row>
    <row r="9" spans="1:5" collapsed="1" x14ac:dyDescent="0.45">
      <c r="A9" s="86" t="s">
        <v>61</v>
      </c>
    </row>
    <row r="10" spans="1:5" hidden="1" outlineLevel="1" x14ac:dyDescent="0.45">
      <c r="B10" t="s">
        <v>62</v>
      </c>
    </row>
    <row r="11" spans="1:5" hidden="1" outlineLevel="1" x14ac:dyDescent="0.45">
      <c r="B11" t="s">
        <v>63</v>
      </c>
    </row>
    <row r="12" spans="1:5" collapsed="1" x14ac:dyDescent="0.45"/>
    <row r="14" spans="1:5" ht="14.65" thickBot="1" x14ac:dyDescent="0.5">
      <c r="A14" t="s">
        <v>64</v>
      </c>
    </row>
    <row r="15" spans="1:5" ht="14.65" thickBot="1" x14ac:dyDescent="0.5">
      <c r="B15" s="88" t="s">
        <v>65</v>
      </c>
      <c r="C15" s="88" t="s">
        <v>66</v>
      </c>
      <c r="D15" s="88" t="s">
        <v>67</v>
      </c>
      <c r="E15" s="88" t="s">
        <v>68</v>
      </c>
    </row>
    <row r="16" spans="1:5" ht="14.65" thickBot="1" x14ac:dyDescent="0.5">
      <c r="B16" s="87" t="s">
        <v>76</v>
      </c>
      <c r="C16" s="87" t="s">
        <v>77</v>
      </c>
      <c r="D16" s="91">
        <v>0</v>
      </c>
      <c r="E16" s="91">
        <v>84000</v>
      </c>
    </row>
    <row r="19" spans="1:7" ht="14.65" thickBot="1" x14ac:dyDescent="0.5">
      <c r="A19" t="s">
        <v>69</v>
      </c>
    </row>
    <row r="20" spans="1:7" ht="14.65" thickBot="1" x14ac:dyDescent="0.5">
      <c r="B20" s="88" t="s">
        <v>65</v>
      </c>
      <c r="C20" s="88" t="s">
        <v>66</v>
      </c>
      <c r="D20" s="88" t="s">
        <v>67</v>
      </c>
      <c r="E20" s="88" t="s">
        <v>68</v>
      </c>
      <c r="F20" s="88" t="s">
        <v>70</v>
      </c>
    </row>
    <row r="21" spans="1:7" x14ac:dyDescent="0.45">
      <c r="B21" s="95" t="s">
        <v>98</v>
      </c>
      <c r="C21" s="94"/>
      <c r="D21" s="94"/>
      <c r="E21" s="94"/>
      <c r="F21" s="94"/>
    </row>
    <row r="22" spans="1:7" hidden="1" outlineLevel="1" x14ac:dyDescent="0.45">
      <c r="B22" s="90" t="s">
        <v>78</v>
      </c>
      <c r="C22" s="90" t="s">
        <v>79</v>
      </c>
      <c r="D22" s="92">
        <v>0</v>
      </c>
      <c r="E22" s="92">
        <v>0</v>
      </c>
      <c r="F22" s="90" t="s">
        <v>80</v>
      </c>
    </row>
    <row r="23" spans="1:7" hidden="1" outlineLevel="1" x14ac:dyDescent="0.45">
      <c r="B23" s="90" t="s">
        <v>81</v>
      </c>
      <c r="C23" s="90" t="s">
        <v>82</v>
      </c>
      <c r="D23" s="92">
        <v>0</v>
      </c>
      <c r="E23" s="92">
        <v>0</v>
      </c>
      <c r="F23" s="90" t="s">
        <v>80</v>
      </c>
    </row>
    <row r="24" spans="1:7" hidden="1" outlineLevel="1" x14ac:dyDescent="0.45">
      <c r="B24" s="90" t="s">
        <v>83</v>
      </c>
      <c r="C24" s="90" t="s">
        <v>84</v>
      </c>
      <c r="D24" s="92">
        <v>0</v>
      </c>
      <c r="E24" s="92">
        <v>399.99999999999994</v>
      </c>
      <c r="F24" s="90" t="s">
        <v>80</v>
      </c>
    </row>
    <row r="25" spans="1:7" ht="14.65" hidden="1" outlineLevel="1" thickBot="1" x14ac:dyDescent="0.5">
      <c r="B25" s="87" t="s">
        <v>85</v>
      </c>
      <c r="C25" s="87" t="s">
        <v>86</v>
      </c>
      <c r="D25" s="91">
        <v>0</v>
      </c>
      <c r="E25" s="91">
        <v>500</v>
      </c>
      <c r="F25" s="87" t="s">
        <v>80</v>
      </c>
    </row>
    <row r="26" spans="1:7" collapsed="1" x14ac:dyDescent="0.45">
      <c r="B26" s="89"/>
      <c r="C26" s="89"/>
      <c r="D26" s="93"/>
      <c r="E26" s="93"/>
      <c r="F26" s="89"/>
    </row>
    <row r="29" spans="1:7" ht="14.65" thickBot="1" x14ac:dyDescent="0.5">
      <c r="A29" t="s">
        <v>71</v>
      </c>
    </row>
    <row r="30" spans="1:7" ht="14.65" thickBot="1" x14ac:dyDescent="0.5">
      <c r="B30" s="88" t="s">
        <v>65</v>
      </c>
      <c r="C30" s="88" t="s">
        <v>66</v>
      </c>
      <c r="D30" s="88" t="s">
        <v>72</v>
      </c>
      <c r="E30" s="88" t="s">
        <v>73</v>
      </c>
      <c r="F30" s="88" t="s">
        <v>74</v>
      </c>
      <c r="G30" s="88" t="s">
        <v>75</v>
      </c>
    </row>
    <row r="31" spans="1:7" x14ac:dyDescent="0.45">
      <c r="B31" s="90" t="s">
        <v>87</v>
      </c>
      <c r="C31" s="90" t="s">
        <v>88</v>
      </c>
      <c r="D31" s="92">
        <v>4800</v>
      </c>
      <c r="E31" s="90" t="s">
        <v>89</v>
      </c>
      <c r="F31" s="90" t="s">
        <v>90</v>
      </c>
      <c r="G31" s="90">
        <v>0</v>
      </c>
    </row>
    <row r="32" spans="1:7" x14ac:dyDescent="0.45">
      <c r="B32" s="90" t="s">
        <v>91</v>
      </c>
      <c r="C32" s="90" t="s">
        <v>92</v>
      </c>
      <c r="D32" s="92">
        <v>2399.9999999999995</v>
      </c>
      <c r="E32" s="90" t="s">
        <v>93</v>
      </c>
      <c r="F32" s="90" t="s">
        <v>90</v>
      </c>
      <c r="G32" s="90">
        <v>0</v>
      </c>
    </row>
    <row r="33" spans="2:7" ht="14.65" thickBot="1" x14ac:dyDescent="0.5">
      <c r="B33" s="87" t="s">
        <v>94</v>
      </c>
      <c r="C33" s="87" t="s">
        <v>95</v>
      </c>
      <c r="D33" s="91">
        <v>1300</v>
      </c>
      <c r="E33" s="87" t="s">
        <v>96</v>
      </c>
      <c r="F33" s="87" t="s">
        <v>97</v>
      </c>
      <c r="G33" s="87">
        <v>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2EF9A-0C16-4C24-8CB3-D2DBCF7E4C60}">
  <dimension ref="A1:H21"/>
  <sheetViews>
    <sheetView showGridLines="0" workbookViewId="0"/>
  </sheetViews>
  <sheetFormatPr defaultRowHeight="14.25" outlineLevelRow="1" x14ac:dyDescent="0.45"/>
  <cols>
    <col min="1" max="1" width="2.1328125" customWidth="1"/>
    <col min="2" max="2" width="6.73046875" bestFit="1" customWidth="1"/>
    <col min="3" max="3" width="9.6640625" bestFit="1" customWidth="1"/>
    <col min="4" max="4" width="13.86328125" bestFit="1" customWidth="1"/>
    <col min="5" max="5" width="10.796875" bestFit="1" customWidth="1"/>
    <col min="6" max="6" width="15.6640625" bestFit="1" customWidth="1"/>
    <col min="7" max="7" width="11.73046875" bestFit="1" customWidth="1"/>
    <col min="8" max="8" width="11.796875" bestFit="1" customWidth="1"/>
  </cols>
  <sheetData>
    <row r="1" spans="1:8" x14ac:dyDescent="0.45">
      <c r="A1" s="86" t="s">
        <v>99</v>
      </c>
    </row>
    <row r="2" spans="1:8" x14ac:dyDescent="0.45">
      <c r="A2" s="86" t="s">
        <v>54</v>
      </c>
    </row>
    <row r="3" spans="1:8" x14ac:dyDescent="0.45">
      <c r="A3" s="86" t="s">
        <v>100</v>
      </c>
    </row>
    <row r="6" spans="1:8" ht="14.65" thickBot="1" x14ac:dyDescent="0.5">
      <c r="A6" t="s">
        <v>69</v>
      </c>
    </row>
    <row r="7" spans="1:8" x14ac:dyDescent="0.45">
      <c r="B7" s="96"/>
      <c r="C7" s="96"/>
      <c r="D7" s="96" t="s">
        <v>101</v>
      </c>
      <c r="E7" s="96" t="s">
        <v>103</v>
      </c>
      <c r="F7" s="96" t="s">
        <v>105</v>
      </c>
      <c r="G7" s="96" t="s">
        <v>107</v>
      </c>
      <c r="H7" s="96" t="s">
        <v>107</v>
      </c>
    </row>
    <row r="8" spans="1:8" ht="14.65" thickBot="1" x14ac:dyDescent="0.5">
      <c r="B8" s="97" t="s">
        <v>65</v>
      </c>
      <c r="C8" s="97" t="s">
        <v>66</v>
      </c>
      <c r="D8" s="97" t="s">
        <v>102</v>
      </c>
      <c r="E8" s="97" t="s">
        <v>104</v>
      </c>
      <c r="F8" s="97" t="s">
        <v>106</v>
      </c>
      <c r="G8" s="97" t="s">
        <v>108</v>
      </c>
      <c r="H8" s="97" t="s">
        <v>109</v>
      </c>
    </row>
    <row r="9" spans="1:8" x14ac:dyDescent="0.45">
      <c r="B9" s="95" t="s">
        <v>98</v>
      </c>
      <c r="C9" s="94"/>
      <c r="D9" s="94"/>
      <c r="E9" s="94"/>
      <c r="F9" s="94"/>
      <c r="G9" s="94"/>
      <c r="H9" s="94"/>
    </row>
    <row r="10" spans="1:8" hidden="1" outlineLevel="1" x14ac:dyDescent="0.45">
      <c r="B10" s="90" t="s">
        <v>78</v>
      </c>
      <c r="C10" s="90" t="s">
        <v>79</v>
      </c>
      <c r="D10" s="90">
        <v>0</v>
      </c>
      <c r="E10" s="90">
        <v>-4.9999999999999982</v>
      </c>
      <c r="F10" s="90">
        <v>65</v>
      </c>
      <c r="G10" s="90">
        <v>4.9999999999999982</v>
      </c>
      <c r="H10" s="90">
        <v>1E+30</v>
      </c>
    </row>
    <row r="11" spans="1:8" hidden="1" outlineLevel="1" x14ac:dyDescent="0.45">
      <c r="B11" s="90" t="s">
        <v>81</v>
      </c>
      <c r="C11" s="90" t="s">
        <v>82</v>
      </c>
      <c r="D11" s="90">
        <v>0</v>
      </c>
      <c r="E11" s="90">
        <v>-9.9999999999999929</v>
      </c>
      <c r="F11" s="90">
        <v>70</v>
      </c>
      <c r="G11" s="90">
        <v>9.9999999999999929</v>
      </c>
      <c r="H11" s="90">
        <v>1E+30</v>
      </c>
    </row>
    <row r="12" spans="1:8" hidden="1" outlineLevel="1" x14ac:dyDescent="0.45">
      <c r="B12" s="90" t="s">
        <v>83</v>
      </c>
      <c r="C12" s="90" t="s">
        <v>84</v>
      </c>
      <c r="D12" s="90">
        <v>399.99999999999994</v>
      </c>
      <c r="E12" s="90">
        <v>0</v>
      </c>
      <c r="F12" s="90">
        <v>60</v>
      </c>
      <c r="G12" s="90">
        <v>1E+30</v>
      </c>
      <c r="H12" s="90">
        <v>5.9999999999999964</v>
      </c>
    </row>
    <row r="13" spans="1:8" ht="14.65" hidden="1" outlineLevel="1" thickBot="1" x14ac:dyDescent="0.5">
      <c r="B13" s="87" t="s">
        <v>85</v>
      </c>
      <c r="C13" s="87" t="s">
        <v>86</v>
      </c>
      <c r="D13" s="87">
        <v>500</v>
      </c>
      <c r="E13" s="87">
        <v>0</v>
      </c>
      <c r="F13" s="87">
        <v>120</v>
      </c>
      <c r="G13" s="87">
        <v>59.999999999999979</v>
      </c>
      <c r="H13" s="87">
        <v>11.999999999999995</v>
      </c>
    </row>
    <row r="14" spans="1:8" collapsed="1" x14ac:dyDescent="0.45">
      <c r="B14" s="89"/>
      <c r="C14" s="89"/>
      <c r="D14" s="89"/>
      <c r="E14" s="89"/>
      <c r="F14" s="89"/>
      <c r="G14" s="89"/>
      <c r="H14" s="89"/>
    </row>
    <row r="16" spans="1:8" ht="14.65" thickBot="1" x14ac:dyDescent="0.5">
      <c r="A16" t="s">
        <v>71</v>
      </c>
    </row>
    <row r="17" spans="2:8" x14ac:dyDescent="0.45">
      <c r="B17" s="96"/>
      <c r="C17" s="96"/>
      <c r="D17" s="96" t="s">
        <v>101</v>
      </c>
      <c r="E17" s="96" t="s">
        <v>110</v>
      </c>
      <c r="F17" s="96" t="s">
        <v>112</v>
      </c>
      <c r="G17" s="96" t="s">
        <v>107</v>
      </c>
      <c r="H17" s="96" t="s">
        <v>107</v>
      </c>
    </row>
    <row r="18" spans="2:8" ht="14.65" thickBot="1" x14ac:dyDescent="0.5">
      <c r="B18" s="97" t="s">
        <v>65</v>
      </c>
      <c r="C18" s="97" t="s">
        <v>66</v>
      </c>
      <c r="D18" s="97" t="s">
        <v>102</v>
      </c>
      <c r="E18" s="97" t="s">
        <v>111</v>
      </c>
      <c r="F18" s="97" t="s">
        <v>113</v>
      </c>
      <c r="G18" s="97" t="s">
        <v>108</v>
      </c>
      <c r="H18" s="97" t="s">
        <v>109</v>
      </c>
    </row>
    <row r="19" spans="2:8" x14ac:dyDescent="0.45">
      <c r="B19" s="90" t="s">
        <v>87</v>
      </c>
      <c r="C19" s="90" t="s">
        <v>88</v>
      </c>
      <c r="D19" s="90">
        <v>4800</v>
      </c>
      <c r="E19" s="90">
        <v>15</v>
      </c>
      <c r="F19" s="90">
        <v>4800</v>
      </c>
      <c r="G19" s="90">
        <v>1600.0000000000009</v>
      </c>
      <c r="H19" s="90">
        <v>4000</v>
      </c>
    </row>
    <row r="20" spans="2:8" x14ac:dyDescent="0.45">
      <c r="B20" s="90" t="s">
        <v>91</v>
      </c>
      <c r="C20" s="90" t="s">
        <v>92</v>
      </c>
      <c r="D20" s="90">
        <v>2399.9999999999995</v>
      </c>
      <c r="E20" s="90">
        <v>4.9999999999999991</v>
      </c>
      <c r="F20" s="90">
        <v>2400</v>
      </c>
      <c r="G20" s="90">
        <v>685.71428571428623</v>
      </c>
      <c r="H20" s="90">
        <v>2400</v>
      </c>
    </row>
    <row r="21" spans="2:8" ht="14.65" thickBot="1" x14ac:dyDescent="0.5">
      <c r="B21" s="87" t="s">
        <v>94</v>
      </c>
      <c r="C21" s="87" t="s">
        <v>95</v>
      </c>
      <c r="D21" s="87">
        <v>1300</v>
      </c>
      <c r="E21" s="87">
        <v>0</v>
      </c>
      <c r="F21" s="87">
        <v>1500</v>
      </c>
      <c r="G21" s="87">
        <v>1E+30</v>
      </c>
      <c r="H21" s="87">
        <v>200.00000000000011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3182B-EBC6-4C33-AC37-8689C6453ACD}">
  <dimension ref="A1:J16"/>
  <sheetViews>
    <sheetView showGridLines="0" workbookViewId="0">
      <selection sqref="A1:A3"/>
    </sheetView>
  </sheetViews>
  <sheetFormatPr defaultRowHeight="14.25" x14ac:dyDescent="0.45"/>
  <cols>
    <col min="1" max="1" width="2.1328125" customWidth="1"/>
    <col min="2" max="2" width="6.73046875" bestFit="1" customWidth="1"/>
    <col min="3" max="3" width="11.3984375" bestFit="1" customWidth="1"/>
    <col min="4" max="4" width="8.73046875" bestFit="1" customWidth="1"/>
    <col min="5" max="5" width="2.1328125" customWidth="1"/>
    <col min="6" max="6" width="7.59765625" bestFit="1" customWidth="1"/>
    <col min="7" max="7" width="15.6640625" bestFit="1" customWidth="1"/>
    <col min="8" max="8" width="2.1328125" customWidth="1"/>
    <col min="9" max="9" width="7.9296875" bestFit="1" customWidth="1"/>
    <col min="10" max="10" width="15.6640625" bestFit="1" customWidth="1"/>
  </cols>
  <sheetData>
    <row r="1" spans="1:10" x14ac:dyDescent="0.45">
      <c r="A1" s="86" t="s">
        <v>114</v>
      </c>
    </row>
    <row r="2" spans="1:10" x14ac:dyDescent="0.45">
      <c r="A2" s="86" t="s">
        <v>54</v>
      </c>
    </row>
    <row r="3" spans="1:10" x14ac:dyDescent="0.45">
      <c r="A3" s="86" t="s">
        <v>115</v>
      </c>
    </row>
    <row r="5" spans="1:10" ht="14.65" thickBot="1" x14ac:dyDescent="0.5"/>
    <row r="6" spans="1:10" x14ac:dyDescent="0.45">
      <c r="B6" s="96"/>
      <c r="C6" s="96" t="s">
        <v>105</v>
      </c>
      <c r="D6" s="96"/>
    </row>
    <row r="7" spans="1:10" ht="14.65" thickBot="1" x14ac:dyDescent="0.5">
      <c r="B7" s="97" t="s">
        <v>65</v>
      </c>
      <c r="C7" s="97" t="s">
        <v>66</v>
      </c>
      <c r="D7" s="97" t="s">
        <v>102</v>
      </c>
    </row>
    <row r="8" spans="1:10" ht="14.65" thickBot="1" x14ac:dyDescent="0.5">
      <c r="B8" s="87" t="s">
        <v>76</v>
      </c>
      <c r="C8" s="87" t="s">
        <v>77</v>
      </c>
      <c r="D8" s="91">
        <v>84000</v>
      </c>
    </row>
    <row r="10" spans="1:10" ht="14.65" thickBot="1" x14ac:dyDescent="0.5"/>
    <row r="11" spans="1:10" x14ac:dyDescent="0.45">
      <c r="B11" s="96"/>
      <c r="C11" s="96" t="s">
        <v>116</v>
      </c>
      <c r="D11" s="96"/>
      <c r="F11" s="96" t="s">
        <v>117</v>
      </c>
      <c r="G11" s="96" t="s">
        <v>105</v>
      </c>
      <c r="I11" s="96" t="s">
        <v>120</v>
      </c>
      <c r="J11" s="96" t="s">
        <v>105</v>
      </c>
    </row>
    <row r="12" spans="1:10" ht="14.65" thickBot="1" x14ac:dyDescent="0.5">
      <c r="B12" s="97" t="s">
        <v>65</v>
      </c>
      <c r="C12" s="97" t="s">
        <v>66</v>
      </c>
      <c r="D12" s="97" t="s">
        <v>102</v>
      </c>
      <c r="F12" s="97" t="s">
        <v>118</v>
      </c>
      <c r="G12" s="97" t="s">
        <v>119</v>
      </c>
      <c r="I12" s="97" t="s">
        <v>118</v>
      </c>
      <c r="J12" s="97" t="s">
        <v>119</v>
      </c>
    </row>
    <row r="13" spans="1:10" x14ac:dyDescent="0.45">
      <c r="B13" s="90" t="s">
        <v>78</v>
      </c>
      <c r="C13" s="90" t="s">
        <v>79</v>
      </c>
      <c r="D13" s="92">
        <v>0</v>
      </c>
      <c r="F13" s="92">
        <v>0</v>
      </c>
      <c r="G13" s="92">
        <v>84000</v>
      </c>
      <c r="I13" s="92">
        <v>0</v>
      </c>
      <c r="J13" s="92">
        <v>84000</v>
      </c>
    </row>
    <row r="14" spans="1:10" x14ac:dyDescent="0.45">
      <c r="B14" s="90" t="s">
        <v>81</v>
      </c>
      <c r="C14" s="90" t="s">
        <v>82</v>
      </c>
      <c r="D14" s="92">
        <v>0</v>
      </c>
      <c r="F14" s="92">
        <v>0</v>
      </c>
      <c r="G14" s="92">
        <v>84000</v>
      </c>
      <c r="I14" s="92">
        <v>0</v>
      </c>
      <c r="J14" s="92">
        <v>84000</v>
      </c>
    </row>
    <row r="15" spans="1:10" x14ac:dyDescent="0.45">
      <c r="B15" s="90" t="s">
        <v>83</v>
      </c>
      <c r="C15" s="90" t="s">
        <v>84</v>
      </c>
      <c r="D15" s="92">
        <v>399.99999999999994</v>
      </c>
      <c r="F15" s="92">
        <v>0</v>
      </c>
      <c r="G15" s="92">
        <v>60000</v>
      </c>
      <c r="I15" s="92">
        <v>400</v>
      </c>
      <c r="J15" s="92">
        <v>84000</v>
      </c>
    </row>
    <row r="16" spans="1:10" ht="14.65" thickBot="1" x14ac:dyDescent="0.5">
      <c r="B16" s="87" t="s">
        <v>85</v>
      </c>
      <c r="C16" s="87" t="s">
        <v>86</v>
      </c>
      <c r="D16" s="91">
        <v>500</v>
      </c>
      <c r="F16" s="91">
        <v>0</v>
      </c>
      <c r="G16" s="91">
        <v>23999.999999999996</v>
      </c>
      <c r="I16" s="91">
        <v>500</v>
      </c>
      <c r="J16" s="91">
        <v>84000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N64"/>
  <sheetViews>
    <sheetView tabSelected="1" topLeftCell="A40" zoomScale="83" workbookViewId="0">
      <selection activeCell="L52" sqref="L52"/>
    </sheetView>
  </sheetViews>
  <sheetFormatPr defaultRowHeight="14.25" outlineLevelRow="2" x14ac:dyDescent="0.45"/>
  <cols>
    <col min="2" max="2" width="14.33203125" bestFit="1" customWidth="1"/>
    <col min="3" max="3" width="12.33203125" bestFit="1" customWidth="1"/>
    <col min="4" max="4" width="9.46484375" customWidth="1"/>
    <col min="6" max="7" width="12.33203125" bestFit="1" customWidth="1"/>
    <col min="8" max="8" width="6.59765625" customWidth="1"/>
    <col min="9" max="9" width="4.3984375" bestFit="1" customWidth="1"/>
    <col min="10" max="10" width="8.19921875" bestFit="1" customWidth="1"/>
  </cols>
  <sheetData>
    <row r="2" spans="2:14" ht="14.65" thickBot="1" x14ac:dyDescent="0.5"/>
    <row r="3" spans="2:14" x14ac:dyDescent="0.45">
      <c r="B3" s="2" t="s">
        <v>0</v>
      </c>
      <c r="C3" s="3">
        <v>65</v>
      </c>
      <c r="D3" s="3">
        <v>70</v>
      </c>
      <c r="E3" s="3">
        <v>60</v>
      </c>
      <c r="F3" s="3">
        <v>120</v>
      </c>
      <c r="G3" s="3"/>
      <c r="H3" s="4" t="s">
        <v>1</v>
      </c>
    </row>
    <row r="4" spans="2:14" x14ac:dyDescent="0.45">
      <c r="B4" s="158" t="s">
        <v>3</v>
      </c>
      <c r="C4" s="1">
        <v>4</v>
      </c>
      <c r="D4" s="1">
        <v>2</v>
      </c>
      <c r="E4" s="1">
        <v>2</v>
      </c>
      <c r="F4" s="1">
        <v>8</v>
      </c>
      <c r="G4" s="163" t="s">
        <v>2</v>
      </c>
      <c r="H4" s="5">
        <v>4800</v>
      </c>
    </row>
    <row r="5" spans="2:14" x14ac:dyDescent="0.45">
      <c r="B5" s="158"/>
      <c r="C5" s="1">
        <v>2</v>
      </c>
      <c r="D5" s="1">
        <v>10</v>
      </c>
      <c r="E5" s="1">
        <v>6</v>
      </c>
      <c r="F5" s="1">
        <v>0</v>
      </c>
      <c r="G5" s="164"/>
      <c r="H5" s="5">
        <v>2400</v>
      </c>
    </row>
    <row r="6" spans="2:14" ht="14.65" thickBot="1" x14ac:dyDescent="0.5">
      <c r="B6" s="159"/>
      <c r="C6" s="6">
        <v>1</v>
      </c>
      <c r="D6" s="6">
        <v>0</v>
      </c>
      <c r="E6" s="6">
        <v>2</v>
      </c>
      <c r="F6" s="6">
        <v>1</v>
      </c>
      <c r="G6" s="165"/>
      <c r="H6" s="7">
        <v>1500</v>
      </c>
    </row>
    <row r="8" spans="2:14" ht="14.65" thickBot="1" x14ac:dyDescent="0.5"/>
    <row r="9" spans="2:14" x14ac:dyDescent="0.45">
      <c r="B9" s="58" t="s">
        <v>4</v>
      </c>
      <c r="C9" s="59">
        <v>4800</v>
      </c>
      <c r="D9" s="59">
        <v>2400</v>
      </c>
      <c r="E9" s="59">
        <v>1500</v>
      </c>
      <c r="F9" s="54"/>
      <c r="G9" s="60" t="s">
        <v>5</v>
      </c>
    </row>
    <row r="10" spans="2:14" ht="14.25" customHeight="1" x14ac:dyDescent="0.45">
      <c r="B10" s="166"/>
      <c r="C10" s="61">
        <v>4</v>
      </c>
      <c r="D10" s="61">
        <v>2</v>
      </c>
      <c r="E10" s="61">
        <v>1</v>
      </c>
      <c r="F10" s="182" t="s">
        <v>6</v>
      </c>
      <c r="G10" s="62">
        <v>65</v>
      </c>
    </row>
    <row r="11" spans="2:14" ht="14.25" customHeight="1" x14ac:dyDescent="0.45">
      <c r="B11" s="167"/>
      <c r="C11" s="61">
        <v>2</v>
      </c>
      <c r="D11" s="61">
        <v>10</v>
      </c>
      <c r="E11" s="61">
        <v>0</v>
      </c>
      <c r="F11" s="183"/>
      <c r="G11" s="62">
        <v>70</v>
      </c>
    </row>
    <row r="12" spans="2:14" ht="14.25" customHeight="1" x14ac:dyDescent="0.45">
      <c r="B12" s="167"/>
      <c r="C12" s="61">
        <v>2</v>
      </c>
      <c r="D12" s="61">
        <v>6</v>
      </c>
      <c r="E12" s="61">
        <v>2</v>
      </c>
      <c r="F12" s="183"/>
      <c r="G12" s="62">
        <v>60</v>
      </c>
    </row>
    <row r="13" spans="2:14" ht="14.25" customHeight="1" x14ac:dyDescent="0.45">
      <c r="B13" s="168"/>
      <c r="C13" s="63"/>
      <c r="D13" s="63"/>
      <c r="E13" s="63"/>
      <c r="F13" s="183"/>
      <c r="G13" s="98"/>
    </row>
    <row r="14" spans="2:14" ht="14.25" customHeight="1" outlineLevel="1" thickBot="1" x14ac:dyDescent="0.5">
      <c r="B14" s="169"/>
      <c r="C14" s="65">
        <v>8</v>
      </c>
      <c r="D14" s="65">
        <v>0</v>
      </c>
      <c r="E14" s="65">
        <v>1</v>
      </c>
      <c r="F14" s="184"/>
      <c r="G14" s="64">
        <v>120</v>
      </c>
      <c r="H14" s="55"/>
      <c r="I14" s="55"/>
      <c r="J14" s="55"/>
      <c r="K14" s="55"/>
      <c r="L14" s="55"/>
      <c r="M14" s="55"/>
      <c r="N14" s="55"/>
    </row>
    <row r="15" spans="2:14" ht="14.65" customHeight="1" outlineLevel="2" x14ac:dyDescent="0.45">
      <c r="B15" s="56"/>
      <c r="C15" s="55"/>
      <c r="D15" s="55"/>
      <c r="E15" s="55"/>
      <c r="F15" s="57"/>
    </row>
    <row r="16" spans="2:14" ht="14.25" customHeight="1" outlineLevel="2" x14ac:dyDescent="0.45"/>
    <row r="17" spans="2:14" ht="14.65" customHeight="1" outlineLevel="2" x14ac:dyDescent="0.45"/>
    <row r="18" spans="2:14" ht="14.65" customHeight="1" outlineLevel="1" thickBot="1" x14ac:dyDescent="0.5"/>
    <row r="19" spans="2:14" ht="14.25" customHeight="1" outlineLevel="1" x14ac:dyDescent="0.45">
      <c r="B19" s="193" t="s">
        <v>7</v>
      </c>
      <c r="C19" s="190" t="s">
        <v>8</v>
      </c>
      <c r="D19" s="127" t="s">
        <v>9</v>
      </c>
      <c r="E19" s="127" t="s">
        <v>10</v>
      </c>
      <c r="F19" s="127" t="s">
        <v>15</v>
      </c>
      <c r="G19" s="127" t="s">
        <v>16</v>
      </c>
      <c r="H19" s="127" t="s">
        <v>17</v>
      </c>
      <c r="I19" s="127" t="s">
        <v>18</v>
      </c>
      <c r="J19" s="127" t="s">
        <v>11</v>
      </c>
      <c r="K19" s="127" t="s">
        <v>12</v>
      </c>
      <c r="L19" s="127" t="s">
        <v>13</v>
      </c>
      <c r="M19" s="170" t="s">
        <v>36</v>
      </c>
      <c r="N19" s="171"/>
    </row>
    <row r="20" spans="2:14" ht="14.25" customHeight="1" x14ac:dyDescent="0.45">
      <c r="B20" s="194"/>
      <c r="C20" s="191"/>
      <c r="D20" s="189"/>
      <c r="E20" s="189"/>
      <c r="F20" s="128"/>
      <c r="G20" s="128"/>
      <c r="H20" s="128"/>
      <c r="I20" s="128"/>
      <c r="J20" s="128"/>
      <c r="K20" s="128"/>
      <c r="L20" s="128"/>
      <c r="M20" s="172"/>
      <c r="N20" s="173"/>
    </row>
    <row r="21" spans="2:14" x14ac:dyDescent="0.45">
      <c r="B21" s="195"/>
      <c r="C21" s="192"/>
      <c r="D21" s="128"/>
      <c r="E21" s="128"/>
      <c r="F21" s="50">
        <v>65</v>
      </c>
      <c r="G21" s="50">
        <v>70</v>
      </c>
      <c r="H21" s="50">
        <v>60</v>
      </c>
      <c r="I21" s="50">
        <v>120</v>
      </c>
      <c r="J21" s="50">
        <v>0</v>
      </c>
      <c r="K21" s="50">
        <v>0</v>
      </c>
      <c r="L21" s="50">
        <v>0</v>
      </c>
      <c r="M21" s="174"/>
      <c r="N21" s="175"/>
    </row>
    <row r="22" spans="2:14" x14ac:dyDescent="0.45">
      <c r="B22" s="160">
        <v>0</v>
      </c>
      <c r="C22" s="31" t="s">
        <v>11</v>
      </c>
      <c r="D22" s="51">
        <v>0</v>
      </c>
      <c r="E22" s="50">
        <v>4800</v>
      </c>
      <c r="F22" s="28">
        <v>4</v>
      </c>
      <c r="G22" s="29">
        <v>2</v>
      </c>
      <c r="H22" s="29">
        <v>2</v>
      </c>
      <c r="I22" s="70">
        <v>8</v>
      </c>
      <c r="J22" s="67">
        <v>1</v>
      </c>
      <c r="K22" s="30">
        <v>0</v>
      </c>
      <c r="L22" s="29">
        <v>0</v>
      </c>
      <c r="M22" s="176">
        <f>E22/I22</f>
        <v>600</v>
      </c>
      <c r="N22" s="177"/>
    </row>
    <row r="23" spans="2:14" x14ac:dyDescent="0.45">
      <c r="B23" s="161"/>
      <c r="C23" s="50" t="s">
        <v>12</v>
      </c>
      <c r="D23" s="51">
        <v>0</v>
      </c>
      <c r="E23" s="50">
        <v>2400</v>
      </c>
      <c r="F23" s="11">
        <v>2</v>
      </c>
      <c r="G23" s="14">
        <v>10</v>
      </c>
      <c r="H23" s="12">
        <v>6</v>
      </c>
      <c r="I23" s="66">
        <v>0</v>
      </c>
      <c r="J23" s="68">
        <v>0</v>
      </c>
      <c r="K23" s="20">
        <v>1</v>
      </c>
      <c r="L23" s="16">
        <v>0</v>
      </c>
      <c r="M23" s="178" t="s">
        <v>37</v>
      </c>
      <c r="N23" s="179"/>
    </row>
    <row r="24" spans="2:14" x14ac:dyDescent="0.45">
      <c r="B24" s="161"/>
      <c r="C24" s="50" t="s">
        <v>13</v>
      </c>
      <c r="D24" s="51">
        <v>0</v>
      </c>
      <c r="E24" s="50">
        <v>1500</v>
      </c>
      <c r="F24" s="9">
        <v>1</v>
      </c>
      <c r="G24" s="13">
        <v>0</v>
      </c>
      <c r="H24" s="15">
        <v>2</v>
      </c>
      <c r="I24" s="66">
        <v>1</v>
      </c>
      <c r="J24" s="69">
        <v>0</v>
      </c>
      <c r="K24" s="23">
        <v>0</v>
      </c>
      <c r="L24" s="15">
        <v>1</v>
      </c>
      <c r="M24" s="180">
        <f>E24/I24</f>
        <v>1500</v>
      </c>
      <c r="N24" s="181"/>
    </row>
    <row r="25" spans="2:14" x14ac:dyDescent="0.45">
      <c r="B25" s="161"/>
      <c r="C25" s="196" t="s">
        <v>19</v>
      </c>
      <c r="D25" s="197"/>
      <c r="E25" s="8" t="s">
        <v>28</v>
      </c>
      <c r="F25" s="8" t="s">
        <v>29</v>
      </c>
      <c r="G25" s="8" t="s">
        <v>30</v>
      </c>
      <c r="H25" s="8" t="s">
        <v>31</v>
      </c>
      <c r="I25" s="8" t="s">
        <v>32</v>
      </c>
      <c r="J25" s="8" t="s">
        <v>33</v>
      </c>
      <c r="K25" s="8" t="s">
        <v>34</v>
      </c>
      <c r="L25" s="24" t="s">
        <v>35</v>
      </c>
      <c r="M25" s="135"/>
      <c r="N25" s="130"/>
    </row>
    <row r="26" spans="2:14" x14ac:dyDescent="0.45">
      <c r="B26" s="162"/>
      <c r="C26" s="125"/>
      <c r="D26" s="186"/>
      <c r="E26" s="50">
        <v>0</v>
      </c>
      <c r="F26" s="53">
        <v>-65</v>
      </c>
      <c r="G26" s="53">
        <v>-70</v>
      </c>
      <c r="H26" s="53">
        <v>-60</v>
      </c>
      <c r="I26" s="27">
        <v>-120</v>
      </c>
      <c r="J26" s="53">
        <v>0</v>
      </c>
      <c r="K26" s="53">
        <v>0</v>
      </c>
      <c r="L26" s="52">
        <v>0</v>
      </c>
      <c r="M26" s="136"/>
      <c r="N26" s="134"/>
    </row>
    <row r="27" spans="2:14" x14ac:dyDescent="0.45">
      <c r="B27" s="160">
        <v>1</v>
      </c>
      <c r="C27" s="50" t="s">
        <v>18</v>
      </c>
      <c r="D27" s="51">
        <v>120</v>
      </c>
      <c r="E27" s="51">
        <f>M22</f>
        <v>600</v>
      </c>
      <c r="F27" s="71">
        <f>F22/$I$22</f>
        <v>0.5</v>
      </c>
      <c r="G27" s="66">
        <f t="shared" ref="G27:L27" si="0">G22/$I$22</f>
        <v>0.25</v>
      </c>
      <c r="H27" s="74">
        <f t="shared" si="0"/>
        <v>0.25</v>
      </c>
      <c r="I27" s="17">
        <f t="shared" si="0"/>
        <v>1</v>
      </c>
      <c r="J27" s="17">
        <f t="shared" si="0"/>
        <v>0.125</v>
      </c>
      <c r="K27" s="17">
        <f t="shared" si="0"/>
        <v>0</v>
      </c>
      <c r="L27" s="22">
        <f t="shared" si="0"/>
        <v>0</v>
      </c>
      <c r="M27" s="178">
        <f>E27/G27</f>
        <v>2400</v>
      </c>
      <c r="N27" s="179"/>
    </row>
    <row r="28" spans="2:14" x14ac:dyDescent="0.45">
      <c r="B28" s="161"/>
      <c r="C28" s="31" t="s">
        <v>12</v>
      </c>
      <c r="D28" s="51">
        <v>0</v>
      </c>
      <c r="E28" s="51">
        <f>(E23*$I$22-E$22*$I23)/$I$22</f>
        <v>2400</v>
      </c>
      <c r="F28" s="72">
        <f t="shared" ref="F28:L29" si="1">(F23*$I$22-F$22*$I23)/$I$22</f>
        <v>2</v>
      </c>
      <c r="G28" s="76">
        <f>(G23*$I$22-G$22*$I23)/$I$22</f>
        <v>10</v>
      </c>
      <c r="H28" s="75">
        <f t="shared" si="1"/>
        <v>6</v>
      </c>
      <c r="I28" s="33">
        <f t="shared" si="1"/>
        <v>0</v>
      </c>
      <c r="J28" s="33">
        <f t="shared" si="1"/>
        <v>0</v>
      </c>
      <c r="K28" s="33">
        <f t="shared" si="1"/>
        <v>1</v>
      </c>
      <c r="L28" s="34">
        <f t="shared" si="1"/>
        <v>0</v>
      </c>
      <c r="M28" s="176">
        <f>E28/G28</f>
        <v>240</v>
      </c>
      <c r="N28" s="177"/>
    </row>
    <row r="29" spans="2:14" x14ac:dyDescent="0.45">
      <c r="B29" s="161"/>
      <c r="C29" s="50" t="s">
        <v>13</v>
      </c>
      <c r="D29" s="51">
        <v>0</v>
      </c>
      <c r="E29" s="51">
        <f>(E24*$I$22-E$22*$I24)/$I$22</f>
        <v>900</v>
      </c>
      <c r="F29" s="73">
        <f t="shared" si="1"/>
        <v>0.5</v>
      </c>
      <c r="G29" s="66">
        <f t="shared" si="1"/>
        <v>-0.25</v>
      </c>
      <c r="H29" s="69">
        <f t="shared" si="1"/>
        <v>1.75</v>
      </c>
      <c r="I29" s="18">
        <f t="shared" si="1"/>
        <v>0</v>
      </c>
      <c r="J29" s="18">
        <f t="shared" si="1"/>
        <v>-0.125</v>
      </c>
      <c r="K29" s="18">
        <f t="shared" si="1"/>
        <v>0</v>
      </c>
      <c r="L29" s="19">
        <f t="shared" si="1"/>
        <v>1</v>
      </c>
      <c r="M29" s="178" t="s">
        <v>37</v>
      </c>
      <c r="N29" s="179"/>
    </row>
    <row r="30" spans="2:14" x14ac:dyDescent="0.45">
      <c r="B30" s="161"/>
      <c r="C30" s="196" t="s">
        <v>19</v>
      </c>
      <c r="D30" s="197"/>
      <c r="E30" s="8" t="s">
        <v>28</v>
      </c>
      <c r="F30" s="10" t="s">
        <v>29</v>
      </c>
      <c r="G30" s="10" t="s">
        <v>30</v>
      </c>
      <c r="H30" s="10" t="s">
        <v>31</v>
      </c>
      <c r="I30" s="10" t="s">
        <v>32</v>
      </c>
      <c r="J30" s="10" t="s">
        <v>33</v>
      </c>
      <c r="K30" s="10" t="s">
        <v>34</v>
      </c>
      <c r="L30" s="25" t="s">
        <v>35</v>
      </c>
      <c r="M30" s="135"/>
      <c r="N30" s="130"/>
    </row>
    <row r="31" spans="2:14" x14ac:dyDescent="0.45">
      <c r="B31" s="162"/>
      <c r="C31" s="125"/>
      <c r="D31" s="186"/>
      <c r="E31" s="50">
        <f t="shared" ref="E31:L31" si="2">(E26*$I$22-E$22*$I26)/$I$22</f>
        <v>72000</v>
      </c>
      <c r="F31" s="53">
        <f t="shared" si="2"/>
        <v>-5</v>
      </c>
      <c r="G31" s="27">
        <f t="shared" si="2"/>
        <v>-40</v>
      </c>
      <c r="H31" s="53">
        <f t="shared" si="2"/>
        <v>-30</v>
      </c>
      <c r="I31" s="53">
        <f t="shared" si="2"/>
        <v>0</v>
      </c>
      <c r="J31" s="53">
        <f t="shared" si="2"/>
        <v>15</v>
      </c>
      <c r="K31" s="53">
        <f t="shared" si="2"/>
        <v>0</v>
      </c>
      <c r="L31" s="52">
        <f t="shared" si="2"/>
        <v>0</v>
      </c>
      <c r="M31" s="136"/>
      <c r="N31" s="134"/>
    </row>
    <row r="32" spans="2:14" x14ac:dyDescent="0.45">
      <c r="B32" s="160">
        <v>2</v>
      </c>
      <c r="C32" s="50" t="s">
        <v>18</v>
      </c>
      <c r="D32" s="51">
        <v>120</v>
      </c>
      <c r="E32" s="51">
        <f t="shared" ref="E32:L32" si="3">(E27*$G$28-E$28*$G27)/$G$28</f>
        <v>540</v>
      </c>
      <c r="F32" s="21">
        <f t="shared" si="3"/>
        <v>0.45</v>
      </c>
      <c r="G32" s="77">
        <f t="shared" si="3"/>
        <v>0</v>
      </c>
      <c r="H32" s="66">
        <f t="shared" si="3"/>
        <v>0.1</v>
      </c>
      <c r="I32" s="74">
        <f t="shared" si="3"/>
        <v>1</v>
      </c>
      <c r="J32" s="17">
        <f t="shared" si="3"/>
        <v>0.125</v>
      </c>
      <c r="K32" s="17">
        <f t="shared" si="3"/>
        <v>-2.5000000000000001E-2</v>
      </c>
      <c r="L32" s="22">
        <f t="shared" si="3"/>
        <v>0</v>
      </c>
      <c r="M32" s="135">
        <f>E32/H32</f>
        <v>5400</v>
      </c>
      <c r="N32" s="130"/>
    </row>
    <row r="33" spans="2:14" x14ac:dyDescent="0.45">
      <c r="B33" s="161"/>
      <c r="C33" s="31" t="s">
        <v>16</v>
      </c>
      <c r="D33" s="51">
        <v>70</v>
      </c>
      <c r="E33" s="51">
        <v>240</v>
      </c>
      <c r="F33" s="32">
        <f t="shared" ref="F33:L33" si="4">F28/$G$28</f>
        <v>0.2</v>
      </c>
      <c r="G33" s="78">
        <f t="shared" si="4"/>
        <v>1</v>
      </c>
      <c r="H33" s="70">
        <f t="shared" si="4"/>
        <v>0.6</v>
      </c>
      <c r="I33" s="79">
        <f t="shared" si="4"/>
        <v>0</v>
      </c>
      <c r="J33" s="33">
        <f t="shared" si="4"/>
        <v>0</v>
      </c>
      <c r="K33" s="33">
        <f t="shared" si="4"/>
        <v>0.1</v>
      </c>
      <c r="L33" s="34">
        <f t="shared" si="4"/>
        <v>0</v>
      </c>
      <c r="M33" s="187">
        <f>E33/H33</f>
        <v>400</v>
      </c>
      <c r="N33" s="188"/>
    </row>
    <row r="34" spans="2:14" x14ac:dyDescent="0.45">
      <c r="B34" s="161"/>
      <c r="C34" s="50" t="s">
        <v>13</v>
      </c>
      <c r="D34" s="51">
        <v>0</v>
      </c>
      <c r="E34" s="51">
        <f t="shared" ref="E34:L34" si="5">(E29*$G$28-E$28*$G29)/$G$28</f>
        <v>960</v>
      </c>
      <c r="F34" s="26">
        <f t="shared" si="5"/>
        <v>0.55000000000000004</v>
      </c>
      <c r="G34" s="15">
        <f t="shared" si="5"/>
        <v>0</v>
      </c>
      <c r="H34" s="66">
        <f t="shared" si="5"/>
        <v>1.9</v>
      </c>
      <c r="I34" s="69">
        <f t="shared" si="5"/>
        <v>0</v>
      </c>
      <c r="J34" s="18">
        <f t="shared" si="5"/>
        <v>-0.125</v>
      </c>
      <c r="K34" s="18">
        <f t="shared" si="5"/>
        <v>2.5000000000000001E-2</v>
      </c>
      <c r="L34" s="19">
        <f t="shared" si="5"/>
        <v>1</v>
      </c>
      <c r="M34" s="135">
        <f>E34/H34</f>
        <v>505.26315789473688</v>
      </c>
      <c r="N34" s="130"/>
    </row>
    <row r="35" spans="2:14" x14ac:dyDescent="0.45">
      <c r="B35" s="161"/>
      <c r="C35" s="196" t="s">
        <v>19</v>
      </c>
      <c r="D35" s="197"/>
      <c r="E35" s="8" t="s">
        <v>28</v>
      </c>
      <c r="F35" s="10" t="s">
        <v>29</v>
      </c>
      <c r="G35" s="10" t="s">
        <v>30</v>
      </c>
      <c r="H35" s="10" t="s">
        <v>31</v>
      </c>
      <c r="I35" s="10" t="s">
        <v>32</v>
      </c>
      <c r="J35" s="10" t="s">
        <v>33</v>
      </c>
      <c r="K35" s="10" t="s">
        <v>34</v>
      </c>
      <c r="L35" s="25" t="s">
        <v>35</v>
      </c>
      <c r="M35" s="135"/>
      <c r="N35" s="130"/>
    </row>
    <row r="36" spans="2:14" x14ac:dyDescent="0.45">
      <c r="B36" s="162"/>
      <c r="C36" s="125"/>
      <c r="D36" s="186"/>
      <c r="E36" s="50">
        <f t="shared" ref="E36:L36" si="6">(E31*$G$28-E$28*$G31)/$G$28</f>
        <v>81600</v>
      </c>
      <c r="F36" s="53">
        <f t="shared" si="6"/>
        <v>3</v>
      </c>
      <c r="G36" s="53">
        <f t="shared" si="6"/>
        <v>0</v>
      </c>
      <c r="H36" s="27">
        <f t="shared" si="6"/>
        <v>-6</v>
      </c>
      <c r="I36" s="53">
        <f t="shared" si="6"/>
        <v>0</v>
      </c>
      <c r="J36" s="53">
        <f t="shared" si="6"/>
        <v>15</v>
      </c>
      <c r="K36" s="53">
        <f t="shared" si="6"/>
        <v>4</v>
      </c>
      <c r="L36" s="53">
        <f t="shared" si="6"/>
        <v>0</v>
      </c>
      <c r="M36" s="136"/>
      <c r="N36" s="134"/>
    </row>
    <row r="37" spans="2:14" x14ac:dyDescent="0.45">
      <c r="B37" s="160">
        <v>3</v>
      </c>
      <c r="C37" s="50" t="s">
        <v>18</v>
      </c>
      <c r="D37" s="1">
        <v>120</v>
      </c>
      <c r="E37" s="84">
        <f>(E32*$H$33-E$33*$H32)/$H$33</f>
        <v>500</v>
      </c>
      <c r="F37" s="21">
        <f>(F32*$H$33-F$33*$H32)/$H$33</f>
        <v>0.41666666666666669</v>
      </c>
      <c r="G37" s="17">
        <f t="shared" ref="G37:L37" si="7">(G32*$H$33-G$33*$H32)/$H$33</f>
        <v>-0.16666666666666669</v>
      </c>
      <c r="H37" s="17">
        <f t="shared" si="7"/>
        <v>0</v>
      </c>
      <c r="I37" s="17">
        <f t="shared" si="7"/>
        <v>1</v>
      </c>
      <c r="J37" s="17">
        <f t="shared" si="7"/>
        <v>0.125</v>
      </c>
      <c r="K37" s="17">
        <f t="shared" si="7"/>
        <v>-4.1666666666666671E-2</v>
      </c>
      <c r="L37" s="22">
        <f t="shared" si="7"/>
        <v>0</v>
      </c>
      <c r="M37" s="129"/>
      <c r="N37" s="130"/>
    </row>
    <row r="38" spans="2:14" x14ac:dyDescent="0.45">
      <c r="B38" s="161"/>
      <c r="C38" s="50" t="s">
        <v>17</v>
      </c>
      <c r="D38" s="1">
        <v>60</v>
      </c>
      <c r="E38" s="85">
        <v>400</v>
      </c>
      <c r="F38" s="81">
        <f>F33/$H$33</f>
        <v>0.33333333333333337</v>
      </c>
      <c r="G38" s="80">
        <f t="shared" ref="G38:L38" si="8">G33/$H$33</f>
        <v>1.6666666666666667</v>
      </c>
      <c r="H38" s="80">
        <f t="shared" si="8"/>
        <v>1</v>
      </c>
      <c r="I38" s="80">
        <f t="shared" si="8"/>
        <v>0</v>
      </c>
      <c r="J38" s="80">
        <f t="shared" si="8"/>
        <v>0</v>
      </c>
      <c r="K38" s="80">
        <f t="shared" si="8"/>
        <v>0.16666666666666669</v>
      </c>
      <c r="L38" s="82">
        <f t="shared" si="8"/>
        <v>0</v>
      </c>
      <c r="M38" s="131"/>
      <c r="N38" s="132"/>
    </row>
    <row r="39" spans="2:14" x14ac:dyDescent="0.45">
      <c r="B39" s="161"/>
      <c r="C39" s="50" t="s">
        <v>13</v>
      </c>
      <c r="D39" s="1">
        <v>0</v>
      </c>
      <c r="E39" s="84">
        <f>(E34*$H$33-E$33*$H34)/$H$33</f>
        <v>200</v>
      </c>
      <c r="F39" s="26">
        <f t="shared" ref="F39:L39" si="9">(F34*$H$33-F$33*$H34)/$H$33</f>
        <v>-8.3333333333333315E-2</v>
      </c>
      <c r="G39" s="18">
        <f t="shared" si="9"/>
        <v>-3.1666666666666665</v>
      </c>
      <c r="H39" s="18">
        <f t="shared" si="9"/>
        <v>0</v>
      </c>
      <c r="I39" s="18">
        <f t="shared" si="9"/>
        <v>0</v>
      </c>
      <c r="J39" s="18">
        <f t="shared" si="9"/>
        <v>-0.125</v>
      </c>
      <c r="K39" s="18">
        <f t="shared" si="9"/>
        <v>-0.29166666666666669</v>
      </c>
      <c r="L39" s="19">
        <f t="shared" si="9"/>
        <v>1</v>
      </c>
      <c r="M39" s="133"/>
      <c r="N39" s="134"/>
    </row>
    <row r="40" spans="2:14" x14ac:dyDescent="0.45">
      <c r="B40" s="161"/>
      <c r="C40" s="123" t="s">
        <v>19</v>
      </c>
      <c r="D40" s="185"/>
      <c r="E40" s="8" t="s">
        <v>28</v>
      </c>
      <c r="F40" s="10" t="s">
        <v>29</v>
      </c>
      <c r="G40" s="10" t="s">
        <v>30</v>
      </c>
      <c r="H40" s="10" t="s">
        <v>31</v>
      </c>
      <c r="I40" s="10" t="s">
        <v>32</v>
      </c>
      <c r="J40" s="10" t="s">
        <v>33</v>
      </c>
      <c r="K40" s="10" t="s">
        <v>34</v>
      </c>
      <c r="L40" s="10" t="s">
        <v>35</v>
      </c>
      <c r="M40" s="135"/>
      <c r="N40" s="130"/>
    </row>
    <row r="41" spans="2:14" x14ac:dyDescent="0.45">
      <c r="B41" s="162"/>
      <c r="C41" s="125"/>
      <c r="D41" s="186"/>
      <c r="E41" s="83">
        <f>(E36*$H$33-E$33*$H36)/$H$33</f>
        <v>84000</v>
      </c>
      <c r="F41" s="83">
        <f t="shared" ref="F41:L41" si="10">(F36*$H$33-F$33*$H36)/$H$33</f>
        <v>5</v>
      </c>
      <c r="G41" s="83">
        <f t="shared" si="10"/>
        <v>10</v>
      </c>
      <c r="H41" s="83">
        <f t="shared" si="10"/>
        <v>0</v>
      </c>
      <c r="I41" s="83">
        <f t="shared" si="10"/>
        <v>0</v>
      </c>
      <c r="J41" s="83">
        <f t="shared" si="10"/>
        <v>15</v>
      </c>
      <c r="K41" s="83">
        <f t="shared" si="10"/>
        <v>5</v>
      </c>
      <c r="L41" s="83">
        <f t="shared" si="10"/>
        <v>0</v>
      </c>
      <c r="M41" s="136"/>
      <c r="N41" s="134"/>
    </row>
    <row r="42" spans="2:14" x14ac:dyDescent="0.45">
      <c r="B42" s="158" t="s">
        <v>20</v>
      </c>
      <c r="C42" s="154"/>
      <c r="D42" s="154"/>
      <c r="E42" s="154"/>
      <c r="F42" s="154" t="s">
        <v>22</v>
      </c>
      <c r="G42" s="154" t="s">
        <v>23</v>
      </c>
      <c r="H42" s="154" t="s">
        <v>24</v>
      </c>
      <c r="I42" s="154" t="s">
        <v>25</v>
      </c>
      <c r="J42" s="154" t="s">
        <v>21</v>
      </c>
      <c r="K42" s="154" t="s">
        <v>26</v>
      </c>
      <c r="L42" s="156" t="s">
        <v>27</v>
      </c>
      <c r="M42" s="135"/>
      <c r="N42" s="130"/>
    </row>
    <row r="43" spans="2:14" ht="14.65" thickBot="1" x14ac:dyDescent="0.5">
      <c r="B43" s="159"/>
      <c r="C43" s="155"/>
      <c r="D43" s="155"/>
      <c r="E43" s="155"/>
      <c r="F43" s="155"/>
      <c r="G43" s="155"/>
      <c r="H43" s="155"/>
      <c r="I43" s="155"/>
      <c r="J43" s="155"/>
      <c r="K43" s="155"/>
      <c r="L43" s="157"/>
      <c r="M43" s="152"/>
      <c r="N43" s="153"/>
    </row>
    <row r="45" spans="2:14" ht="14.65" thickBot="1" x14ac:dyDescent="0.5"/>
    <row r="46" spans="2:14" x14ac:dyDescent="0.45">
      <c r="B46" s="35" t="s">
        <v>46</v>
      </c>
      <c r="C46" s="36" t="s">
        <v>14</v>
      </c>
      <c r="D46" s="36" t="s">
        <v>38</v>
      </c>
      <c r="E46" s="36" t="s">
        <v>39</v>
      </c>
      <c r="F46" s="45" t="s">
        <v>42</v>
      </c>
      <c r="G46" s="36" t="s">
        <v>52</v>
      </c>
      <c r="H46" s="143"/>
      <c r="I46" s="144"/>
      <c r="J46" s="145"/>
    </row>
    <row r="47" spans="2:14" x14ac:dyDescent="0.45">
      <c r="B47" s="37" t="s">
        <v>47</v>
      </c>
      <c r="C47" s="99">
        <v>0</v>
      </c>
      <c r="D47" s="99">
        <v>0</v>
      </c>
      <c r="E47" s="99">
        <v>399.99999999999994</v>
      </c>
      <c r="F47" s="100">
        <v>500</v>
      </c>
      <c r="G47" s="42"/>
      <c r="H47" s="146"/>
      <c r="I47" s="147"/>
      <c r="J47" s="148"/>
    </row>
    <row r="48" spans="2:14" x14ac:dyDescent="0.45">
      <c r="B48" s="37" t="s">
        <v>48</v>
      </c>
      <c r="C48" s="42">
        <v>65</v>
      </c>
      <c r="D48" s="42">
        <v>70</v>
      </c>
      <c r="E48" s="42">
        <v>60</v>
      </c>
      <c r="F48" s="44">
        <v>120</v>
      </c>
      <c r="G48" s="99">
        <f>SUMPRODUCT(C$47:F$47, C48:F48)</f>
        <v>84000</v>
      </c>
      <c r="H48" s="149"/>
      <c r="I48" s="150"/>
      <c r="J48" s="151"/>
    </row>
    <row r="49" spans="2:10" x14ac:dyDescent="0.45">
      <c r="B49" s="140" t="s">
        <v>51</v>
      </c>
      <c r="C49" s="141"/>
      <c r="D49" s="141"/>
      <c r="E49" s="141"/>
      <c r="F49" s="141"/>
      <c r="G49" s="141"/>
      <c r="H49" s="141"/>
      <c r="I49" s="141"/>
      <c r="J49" s="142"/>
    </row>
    <row r="50" spans="2:10" x14ac:dyDescent="0.45">
      <c r="B50" s="47" t="s">
        <v>41</v>
      </c>
      <c r="C50" s="48"/>
      <c r="D50" s="48"/>
      <c r="E50" s="48"/>
      <c r="F50" s="44"/>
      <c r="G50" s="137"/>
      <c r="H50" s="48" t="s">
        <v>49</v>
      </c>
      <c r="I50" s="48" t="s">
        <v>126</v>
      </c>
      <c r="J50" s="49" t="s">
        <v>50</v>
      </c>
    </row>
    <row r="51" spans="2:10" x14ac:dyDescent="0.45">
      <c r="B51" s="47" t="s">
        <v>43</v>
      </c>
      <c r="C51" s="48">
        <v>4</v>
      </c>
      <c r="D51" s="48">
        <v>2</v>
      </c>
      <c r="E51" s="48">
        <v>2</v>
      </c>
      <c r="F51" s="44">
        <v>8</v>
      </c>
      <c r="G51" s="138"/>
      <c r="H51" s="38">
        <f>SUMPRODUCT(C$47:F$47, C51:F51)</f>
        <v>4800</v>
      </c>
      <c r="I51" s="48" t="s">
        <v>40</v>
      </c>
      <c r="J51" s="49">
        <v>4800</v>
      </c>
    </row>
    <row r="52" spans="2:10" x14ac:dyDescent="0.45">
      <c r="B52" s="47" t="s">
        <v>44</v>
      </c>
      <c r="C52" s="48">
        <v>2</v>
      </c>
      <c r="D52" s="103">
        <v>10</v>
      </c>
      <c r="E52" s="48">
        <v>6</v>
      </c>
      <c r="F52" s="44">
        <v>0</v>
      </c>
      <c r="G52" s="138"/>
      <c r="H52" s="38">
        <f>SUMPRODUCT(C$47:F$47, C52:F52)</f>
        <v>2399.9999999999995</v>
      </c>
      <c r="I52" s="48" t="s">
        <v>40</v>
      </c>
      <c r="J52" s="49">
        <v>2400</v>
      </c>
    </row>
    <row r="53" spans="2:10" ht="14.65" thickBot="1" x14ac:dyDescent="0.5">
      <c r="B53" s="39" t="s">
        <v>45</v>
      </c>
      <c r="C53" s="101">
        <v>1</v>
      </c>
      <c r="D53" s="48">
        <v>0</v>
      </c>
      <c r="E53" s="102">
        <v>2</v>
      </c>
      <c r="F53" s="46">
        <v>1</v>
      </c>
      <c r="G53" s="139"/>
      <c r="H53" s="41">
        <f>SUMPRODUCT(C$47:F$47, C53:F53)</f>
        <v>1300</v>
      </c>
      <c r="I53" s="40" t="s">
        <v>40</v>
      </c>
      <c r="J53" s="43">
        <v>1500</v>
      </c>
    </row>
    <row r="55" spans="2:10" ht="14.65" thickBot="1" x14ac:dyDescent="0.5"/>
    <row r="56" spans="2:10" x14ac:dyDescent="0.45">
      <c r="B56" s="108" t="s">
        <v>46</v>
      </c>
      <c r="C56" s="109" t="s">
        <v>122</v>
      </c>
      <c r="D56" s="109" t="s">
        <v>123</v>
      </c>
      <c r="E56" s="109" t="s">
        <v>124</v>
      </c>
      <c r="F56" s="109" t="s">
        <v>52</v>
      </c>
      <c r="G56" s="121"/>
      <c r="H56" s="122"/>
      <c r="I56" s="105"/>
      <c r="J56" s="105"/>
    </row>
    <row r="57" spans="2:10" x14ac:dyDescent="0.45">
      <c r="B57" s="110" t="s">
        <v>47</v>
      </c>
      <c r="C57" s="116">
        <v>15</v>
      </c>
      <c r="D57" s="116">
        <v>5</v>
      </c>
      <c r="E57" s="116">
        <v>0</v>
      </c>
      <c r="F57" s="106"/>
      <c r="G57" s="123"/>
      <c r="H57" s="124"/>
      <c r="I57" s="105"/>
      <c r="J57" s="105"/>
    </row>
    <row r="58" spans="2:10" x14ac:dyDescent="0.45">
      <c r="B58" s="110" t="s">
        <v>48</v>
      </c>
      <c r="C58" s="106">
        <v>4800</v>
      </c>
      <c r="D58" s="106">
        <v>2400</v>
      </c>
      <c r="E58" s="106">
        <v>1500</v>
      </c>
      <c r="F58" s="116">
        <f>SUMPRODUCT($C$57:$E$57, C58:E58)</f>
        <v>84000</v>
      </c>
      <c r="G58" s="125"/>
      <c r="H58" s="126"/>
      <c r="I58" s="105"/>
      <c r="J58" s="105"/>
    </row>
    <row r="59" spans="2:10" x14ac:dyDescent="0.45">
      <c r="B59" s="118" t="s">
        <v>51</v>
      </c>
      <c r="C59" s="119"/>
      <c r="D59" s="119"/>
      <c r="E59" s="119"/>
      <c r="F59" s="119"/>
      <c r="G59" s="119"/>
      <c r="H59" s="120"/>
      <c r="I59" s="105"/>
      <c r="J59" s="105"/>
    </row>
    <row r="60" spans="2:10" ht="28.5" x14ac:dyDescent="0.45">
      <c r="B60" s="110" t="s">
        <v>41</v>
      </c>
      <c r="C60" s="106"/>
      <c r="D60" s="106"/>
      <c r="E60" s="106"/>
      <c r="F60" s="106" t="s">
        <v>49</v>
      </c>
      <c r="G60" s="106" t="s">
        <v>126</v>
      </c>
      <c r="H60" s="111" t="s">
        <v>50</v>
      </c>
      <c r="I60" s="104"/>
      <c r="J60" s="104"/>
    </row>
    <row r="61" spans="2:10" x14ac:dyDescent="0.45">
      <c r="B61" s="110" t="s">
        <v>43</v>
      </c>
      <c r="C61" s="106">
        <v>4</v>
      </c>
      <c r="D61" s="106">
        <v>2</v>
      </c>
      <c r="E61" s="106">
        <v>1</v>
      </c>
      <c r="F61" s="107">
        <f>SUMPRODUCT($C$57:$E$57, C61:E61)</f>
        <v>70</v>
      </c>
      <c r="G61" s="106" t="s">
        <v>125</v>
      </c>
      <c r="H61" s="112">
        <v>65</v>
      </c>
      <c r="I61" s="104"/>
      <c r="J61" s="104"/>
    </row>
    <row r="62" spans="2:10" x14ac:dyDescent="0.45">
      <c r="B62" s="110" t="s">
        <v>44</v>
      </c>
      <c r="C62" s="106">
        <v>2</v>
      </c>
      <c r="D62" s="106">
        <v>10</v>
      </c>
      <c r="E62" s="106">
        <v>0</v>
      </c>
      <c r="F62" s="107">
        <f t="shared" ref="F62:F64" si="11">SUMPRODUCT($C$57:$E$57, C62:E62)</f>
        <v>80</v>
      </c>
      <c r="G62" s="106" t="s">
        <v>125</v>
      </c>
      <c r="H62" s="112">
        <v>70</v>
      </c>
      <c r="I62" s="104"/>
      <c r="J62" s="104"/>
    </row>
    <row r="63" spans="2:10" x14ac:dyDescent="0.45">
      <c r="B63" s="110" t="s">
        <v>45</v>
      </c>
      <c r="C63" s="106">
        <v>2</v>
      </c>
      <c r="D63" s="106">
        <v>6</v>
      </c>
      <c r="E63" s="106">
        <v>2</v>
      </c>
      <c r="F63" s="107">
        <f t="shared" si="11"/>
        <v>60</v>
      </c>
      <c r="G63" s="106" t="s">
        <v>125</v>
      </c>
      <c r="H63" s="112">
        <v>60</v>
      </c>
      <c r="I63" s="104"/>
      <c r="J63" s="104"/>
    </row>
    <row r="64" spans="2:10" ht="14.65" thickBot="1" x14ac:dyDescent="0.5">
      <c r="B64" s="113" t="s">
        <v>121</v>
      </c>
      <c r="C64" s="114">
        <v>8</v>
      </c>
      <c r="D64" s="114">
        <v>0</v>
      </c>
      <c r="E64" s="114">
        <v>1</v>
      </c>
      <c r="F64" s="117">
        <f t="shared" si="11"/>
        <v>120</v>
      </c>
      <c r="G64" s="114" t="s">
        <v>125</v>
      </c>
      <c r="H64" s="115">
        <v>120</v>
      </c>
      <c r="I64" s="104"/>
      <c r="J64" s="104"/>
    </row>
  </sheetData>
  <mergeCells count="52">
    <mergeCell ref="M33:N33"/>
    <mergeCell ref="M34:N34"/>
    <mergeCell ref="E19:E21"/>
    <mergeCell ref="D19:D21"/>
    <mergeCell ref="C19:C21"/>
    <mergeCell ref="C30:D31"/>
    <mergeCell ref="C25:D26"/>
    <mergeCell ref="G4:G6"/>
    <mergeCell ref="B4:B6"/>
    <mergeCell ref="B10:B14"/>
    <mergeCell ref="I42:I43"/>
    <mergeCell ref="J42:J43"/>
    <mergeCell ref="F10:F14"/>
    <mergeCell ref="C40:D41"/>
    <mergeCell ref="B19:B21"/>
    <mergeCell ref="C35:D36"/>
    <mergeCell ref="B32:B36"/>
    <mergeCell ref="B27:B31"/>
    <mergeCell ref="B22:B26"/>
    <mergeCell ref="M40:N41"/>
    <mergeCell ref="G50:G53"/>
    <mergeCell ref="B49:J49"/>
    <mergeCell ref="H46:J48"/>
    <mergeCell ref="M42:N43"/>
    <mergeCell ref="K42:K43"/>
    <mergeCell ref="L42:L43"/>
    <mergeCell ref="B42:E43"/>
    <mergeCell ref="F42:F43"/>
    <mergeCell ref="G42:G43"/>
    <mergeCell ref="H42:H43"/>
    <mergeCell ref="B37:B41"/>
    <mergeCell ref="I19:I20"/>
    <mergeCell ref="J19:J20"/>
    <mergeCell ref="K19:K20"/>
    <mergeCell ref="L19:L20"/>
    <mergeCell ref="M37:N39"/>
    <mergeCell ref="M19:N21"/>
    <mergeCell ref="M22:N22"/>
    <mergeCell ref="M23:N23"/>
    <mergeCell ref="M24:N24"/>
    <mergeCell ref="M27:N27"/>
    <mergeCell ref="M25:N26"/>
    <mergeCell ref="M32:N32"/>
    <mergeCell ref="M29:N29"/>
    <mergeCell ref="M28:N28"/>
    <mergeCell ref="M35:N36"/>
    <mergeCell ref="M30:N31"/>
    <mergeCell ref="B59:H59"/>
    <mergeCell ref="G56:H58"/>
    <mergeCell ref="F19:F20"/>
    <mergeCell ref="G19:G20"/>
    <mergeCell ref="H19:H20"/>
  </mergeCells>
  <pageMargins left="0.7" right="0.7" top="0.75" bottom="0.75" header="0.3" footer="0.3"/>
  <pageSetup orientation="portrait" r:id="rId1"/>
  <ignoredErrors>
    <ignoredError sqref="F33:J33 K33:L33 F38:L38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Отчет о результатах 1</vt:lpstr>
      <vt:lpstr>Отчет об устойчивости 1</vt:lpstr>
      <vt:lpstr>Отчет о пределах 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 Ушаков</dc:creator>
  <cp:lastModifiedBy>Александр Ушаков</cp:lastModifiedBy>
  <cp:lastPrinted>2025-10-01T11:42:00Z</cp:lastPrinted>
  <dcterms:created xsi:type="dcterms:W3CDTF">2015-06-05T18:17:20Z</dcterms:created>
  <dcterms:modified xsi:type="dcterms:W3CDTF">2025-10-01T11:42:18Z</dcterms:modified>
</cp:coreProperties>
</file>